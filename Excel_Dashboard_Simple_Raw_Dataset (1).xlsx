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C:\Users\USER\Desktop\fida fahim\"/>
    </mc:Choice>
  </mc:AlternateContent>
  <xr:revisionPtr revIDLastSave="0" documentId="13_ncr:1_{E6531670-B903-461B-BD28-06CEAB5B212F}" xr6:coauthVersionLast="47" xr6:coauthVersionMax="47" xr10:uidLastSave="{00000000-0000-0000-0000-000000000000}"/>
  <bookViews>
    <workbookView xWindow="0" yWindow="0" windowWidth="20490" windowHeight="10920" activeTab="1" xr2:uid="{00000000-000D-0000-FFFF-FFFF00000000}"/>
  </bookViews>
  <sheets>
    <sheet name="ANALYSIS" sheetId="2" r:id="rId1"/>
    <sheet name="DASHBOARD" sheetId="3" r:id="rId2"/>
    <sheet name="DATA" sheetId="1" r:id="rId3"/>
  </sheets>
  <definedNames>
    <definedName name="Slicer_Month">#N/A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2" i="1"/>
  <c r="I31" i="1"/>
  <c r="I22" i="2"/>
  <c r="I18" i="2"/>
  <c r="I14" i="2"/>
  <c r="I25" i="2"/>
</calcChain>
</file>

<file path=xl/sharedStrings.xml><?xml version="1.0" encoding="utf-8"?>
<sst xmlns="http://schemas.openxmlformats.org/spreadsheetml/2006/main" count="547" uniqueCount="202">
  <si>
    <t>Order_ID</t>
  </si>
  <si>
    <t>Order_Date</t>
  </si>
  <si>
    <t>Customer</t>
  </si>
  <si>
    <t>Product</t>
  </si>
  <si>
    <t>Category</t>
  </si>
  <si>
    <t>Region</t>
  </si>
  <si>
    <t>Quantity</t>
  </si>
  <si>
    <t>Unit_Price</t>
  </si>
  <si>
    <t>Discount_%</t>
  </si>
  <si>
    <t>Payment_Mode</t>
  </si>
  <si>
    <t>Sales</t>
  </si>
  <si>
    <t>Cost</t>
  </si>
  <si>
    <t>Profit</t>
  </si>
  <si>
    <t>ORD10001</t>
  </si>
  <si>
    <t>ORD10002</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</si>
  <si>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</si>
  <si>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</si>
  <si>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</si>
  <si>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</si>
  <si>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</si>
  <si>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</si>
  <si>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</si>
  <si>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</si>
  <si>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</si>
  <si>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</si>
  <si>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</si>
  <si>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</si>
  <si>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</si>
  <si>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</si>
  <si>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</si>
  <si>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</si>
  <si>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</si>
  <si>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</si>
  <si>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</si>
  <si>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</si>
  <si>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</si>
  <si>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</si>
  <si>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</si>
  <si>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</si>
  <si>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</si>
  <si>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</si>
  <si>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</si>
  <si>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</si>
  <si>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</si>
  <si>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</si>
  <si>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</si>
  <si>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</si>
  <si>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</si>
  <si>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</si>
  <si>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</si>
  <si>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</si>
  <si>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</si>
  <si>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</si>
  <si>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</si>
  <si>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</si>
  <si>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</si>
  <si>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</si>
  <si>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</si>
  <si>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</si>
  <si>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</si>
  <si>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</si>
  <si>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</si>
  <si>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</si>
  <si>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</si>
  <si>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</si>
  <si>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</si>
  <si>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</si>
  <si>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</si>
  <si>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</si>
  <si>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</si>
  <si>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</si>
  <si>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</si>
  <si>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</si>
  <si>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</si>
  <si>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</si>
  <si>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</si>
  <si>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</si>
  <si>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</si>
  <si>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</si>
  <si>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</si>
  <si>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</si>
  <si>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</si>
  <si>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</si>
  <si>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</si>
  <si>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</si>
  <si>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</si>
  <si>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</si>
  <si>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</si>
  <si>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</si>
  <si>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</si>
  <si>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</si>
  <si>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</si>
  <si>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</si>
  <si>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C1005</t>
  </si>
  <si>
    <t>C1006</t>
  </si>
  <si>
    <t>C1007</t>
  </si>
  <si>
    <t>C1008</t>
  </si>
  <si>
    <t>C1009</t>
  </si>
  <si>
    <t>C1010</t>
  </si>
  <si>
    <t>C1011</t>
  </si>
  <si>
    <t>C1012</t>
  </si>
  <si>
    <t>C1013</t>
  </si>
  <si>
    <t>C1014</t>
  </si>
  <si>
    <t>C1015</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</si>
  <si>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</si>
  <si>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</si>
  <si>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</si>
  <si>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</si>
  <si>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</si>
  <si>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</si>
  <si>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</si>
  <si>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</si>
  <si>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</si>
  <si>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</si>
  <si>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</si>
  <si>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</si>
  <si>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</si>
  <si>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</si>
  <si>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</si>
  <si>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</si>
  <si>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</si>
  <si>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</si>
  <si>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</si>
  <si>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</si>
  <si>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</si>
  <si>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</si>
  <si>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</si>
  <si>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</si>
  <si>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</si>
  <si>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</si>
  <si>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</si>
  <si>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</si>
  <si>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</si>
  <si>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</si>
  <si>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</si>
  <si>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</si>
  <si>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</si>
  <si>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</si>
  <si>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</si>
  <si>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</si>
  <si>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</si>
  <si>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</si>
  <si>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</si>
  <si>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</si>
  <si>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</si>
  <si>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</si>
  <si>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</si>
  <si>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</si>
  <si>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</si>
  <si>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</si>
  <si>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</si>
  <si>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</si>
  <si>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</si>
  <si>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</si>
  <si>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</si>
  <si>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</si>
  <si>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</si>
  <si>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</si>
  <si>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</si>
  <si>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</si>
  <si>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</si>
  <si>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</si>
  <si>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</si>
  <si>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</si>
  <si>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</si>
  <si>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</si>
  <si>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</si>
  <si>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</si>
  <si>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</si>
  <si>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</si>
  <si>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</si>
  <si>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</si>
  <si>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</si>
  <si>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</si>
  <si>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</si>
  <si>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</si>
  <si>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East</t>
  </si>
  <si>
    <t>West</t>
  </si>
  <si>
    <t>South</t>
  </si>
  <si>
    <t>Cash</t>
  </si>
  <si>
    <t>UPI</t>
  </si>
  <si>
    <t>Net Banking</t>
  </si>
  <si>
    <t>Card</t>
  </si>
  <si>
    <t xml:space="preserve">Card </t>
  </si>
  <si>
    <t>C1016</t>
  </si>
  <si>
    <t>Unknown</t>
  </si>
  <si>
    <t>Month</t>
  </si>
  <si>
    <t>Month_No</t>
  </si>
  <si>
    <t>Profit_Margin_%</t>
  </si>
  <si>
    <t>Row Labels</t>
  </si>
  <si>
    <t>Jan</t>
  </si>
  <si>
    <t>Feb</t>
  </si>
  <si>
    <t>Mar</t>
  </si>
  <si>
    <t>Apr</t>
  </si>
  <si>
    <t>May</t>
  </si>
  <si>
    <t>Jun</t>
  </si>
  <si>
    <t>Grand Total</t>
  </si>
  <si>
    <t>Sum of Sales</t>
  </si>
  <si>
    <t>Sum of Profit</t>
  </si>
  <si>
    <t xml:space="preserve">South </t>
  </si>
  <si>
    <t>Sum of Quantity</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</si>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</sst>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6"/>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xf numFmtId="0" fontId="1" fillId="0" borderId="2" xfId="0" applyFont="1" applyBorder="1" applyAlignment="1">
      <alignment horizontal="center" vertical="top"/>
    </xf>
    <xf numFmtId="1" fontId="0" fillId="0" borderId="0" xfId="1" applyNumberFormat="1" applyFont="1"/>
    <xf numFmtId="0" fontId="0" fillId="0" borderId="0" xfId="0" pivotButton="1"/>
    <xf numFmtId="0" fontId="0" fillId="0" borderId="0" xfId="0" applyAlignment="1">
      <alignment horizontal="left"/>
    </xf>
    <xf numFmtId="3" fontId="0" fillId="0" borderId="0" xfId="0" applyNumberFormat="1"/>
    <xf numFmtId="0" fontId="3" fillId="0" borderId="0" xfId="0" applyFont="1"/>
  </cellXfs>
  <cellStyles count="2">
    <cellStyle name="Normal" xfId="0" builtinId="0"/>
    <cellStyle name="Percent" xfId="1" builtinId="5"/>
  </cellStyles>
  <dxfs count="12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theme="1"/>
        <name val="Calibri"/>
        <family val="2"/>
        <scheme val="minor"/>
      </font>
      <numFmt numFmtId="1" formatCode="0"/>
    </dxf>
    <dxf>
      <numFmt numFmtId="164" formatCode="yyyy\-mm\-dd\ hh:mm:ss"/>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colors>
    <mruColors>
      <color rgb="FF00CC66"/>
      <color rgb="FF339966"/>
      <color rgb="FF1D4734"/>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1D4734"/>
                </a:solidFill>
              </a:rPr>
              <a:t>MONTHLY</a:t>
            </a:r>
            <a:r>
              <a:rPr lang="en-US" sz="1200" b="1" baseline="0">
                <a:solidFill>
                  <a:srgbClr val="1D4734"/>
                </a:solidFill>
              </a:rPr>
              <a:t> SALES TREND</a:t>
            </a:r>
            <a:endParaRPr lang="en-US" sz="1200" b="1">
              <a:solidFill>
                <a:srgbClr val="1D4734"/>
              </a:solidFill>
            </a:endParaRPr>
          </a:p>
        </c:rich>
      </c:tx>
      <c:layout>
        <c:manualLayout>
          <c:xMode val="edge"/>
          <c:yMode val="edge"/>
          <c:x val="4.0121003802193619E-2"/>
          <c:y val="2.3147930976713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4621E-3"/>
              <c:y val="-0.20253159173883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2331E-3"/>
              <c:y val="-0.141772114217186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1476132424130698E-16"/>
              <c:y val="-0.29704633455029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564945226917052E-2"/>
              <c:y val="-0.20253159173883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3476E-3"/>
              <c:y val="-0.324050546782139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4345165530163373E-17"/>
              <c:y val="-0.13502106115922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4345165530163373E-17"/>
              <c:y val="-0.13502106115922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3476E-3"/>
              <c:y val="-0.324050546782139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564945226917052E-2"/>
              <c:y val="-0.20253159173883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4621E-3"/>
              <c:y val="-0.20253159173883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2331E-3"/>
              <c:y val="-0.141772114217186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1476132424130698E-16"/>
              <c:y val="-0.29704633455029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4345165530163373E-17"/>
              <c:y val="-0.13502106115922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3476E-3"/>
              <c:y val="-0.324050546782139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564945226917052E-2"/>
              <c:y val="-0.202531591738837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4621E-3"/>
              <c:y val="-0.202531591738837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9.3896713615022331E-3"/>
              <c:y val="-0.14177211421718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Lbl>
          <c:idx val="0"/>
          <c:layout>
            <c:manualLayout>
              <c:x val="-1.1476132424130698E-16"/>
              <c:y val="-0.29704633455029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1964440977382"/>
          <c:y val="0.24856871810770079"/>
          <c:w val="0.7351119345375946"/>
          <c:h val="0.57268143384694492"/>
        </c:manualLayout>
      </c:layout>
      <c:areaChart>
        <c:grouping val="standard"/>
        <c:varyColors val="0"/>
        <c:ser>
          <c:idx val="0"/>
          <c:order val="0"/>
          <c:tx>
            <c:strRef>
              <c:f>ANALYSIS!$B$3</c:f>
              <c:strCache>
                <c:ptCount val="1"/>
                <c:pt idx="0">
                  <c:v>Total</c:v>
                </c:pt>
              </c:strCache>
            </c:strRef>
          </c:tx>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28575">
              <a:solidFill>
                <a:srgbClr val="1D4734">
                  <a:alpha val="67000"/>
                </a:srgbClr>
              </a:solidFill>
            </a:ln>
            <a:effectLst/>
          </c:spPr>
          <c:dPt>
            <c:idx val="0"/>
            <c:bubble3D val="0"/>
            <c:extLst>
              <c:ext xmlns:c16="http://schemas.microsoft.com/office/drawing/2014/chart" uri="{C3380CC4-5D6E-409C-BE32-E72D297353CC}">
                <c16:uniqueId val="{00000000-5F07-4ABE-94FD-7E2E7BDFF699}"/>
              </c:ext>
            </c:extLst>
          </c:dPt>
          <c:dPt>
            <c:idx val="1"/>
            <c:bubble3D val="0"/>
            <c:extLst>
              <c:ext xmlns:c16="http://schemas.microsoft.com/office/drawing/2014/chart" uri="{C3380CC4-5D6E-409C-BE32-E72D297353CC}">
                <c16:uniqueId val="{00000001-5F07-4ABE-94FD-7E2E7BDFF699}"/>
              </c:ext>
            </c:extLst>
          </c:dPt>
          <c:dPt>
            <c:idx val="2"/>
            <c:bubble3D val="0"/>
            <c:extLst>
              <c:ext xmlns:c16="http://schemas.microsoft.com/office/drawing/2014/chart" uri="{C3380CC4-5D6E-409C-BE32-E72D297353CC}">
                <c16:uniqueId val="{00000002-5F07-4ABE-94FD-7E2E7BDFF699}"/>
              </c:ext>
            </c:extLst>
          </c:dPt>
          <c:dPt>
            <c:idx val="3"/>
            <c:bubble3D val="0"/>
            <c:extLst>
              <c:ext xmlns:c16="http://schemas.microsoft.com/office/drawing/2014/chart" uri="{C3380CC4-5D6E-409C-BE32-E72D297353CC}">
                <c16:uniqueId val="{00000003-5F07-4ABE-94FD-7E2E7BDFF699}"/>
              </c:ext>
            </c:extLst>
          </c:dPt>
          <c:dPt>
            <c:idx val="4"/>
            <c:bubble3D val="0"/>
            <c:extLst>
              <c:ext xmlns:c16="http://schemas.microsoft.com/office/drawing/2014/chart" uri="{C3380CC4-5D6E-409C-BE32-E72D297353CC}">
                <c16:uniqueId val="{00000004-5F07-4ABE-94FD-7E2E7BDFF699}"/>
              </c:ext>
            </c:extLst>
          </c:dPt>
          <c:dPt>
            <c:idx val="5"/>
            <c:bubble3D val="0"/>
            <c:extLst>
              <c:ext xmlns:c16="http://schemas.microsoft.com/office/drawing/2014/chart" uri="{C3380CC4-5D6E-409C-BE32-E72D297353CC}">
                <c16:uniqueId val="{00000005-5F07-4ABE-94FD-7E2E7BDFF699}"/>
              </c:ext>
            </c:extLst>
          </c:dPt>
          <c:dLbls>
            <c:dLbl>
              <c:idx val="0"/>
              <c:layout>
                <c:manualLayout>
                  <c:x val="-1.4345165530163373E-17"/>
                  <c:y val="-0.13502106115922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07-4ABE-94FD-7E2E7BDFF699}"/>
                </c:ext>
              </c:extLst>
            </c:dLbl>
            <c:dLbl>
              <c:idx val="1"/>
              <c:layout>
                <c:manualLayout>
                  <c:x val="9.3896713615023476E-3"/>
                  <c:y val="-0.324050546782139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07-4ABE-94FD-7E2E7BDFF699}"/>
                </c:ext>
              </c:extLst>
            </c:dLbl>
            <c:dLbl>
              <c:idx val="2"/>
              <c:layout>
                <c:manualLayout>
                  <c:x val="1.564945226917052E-2"/>
                  <c:y val="-0.20253159173883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07-4ABE-94FD-7E2E7BDFF699}"/>
                </c:ext>
              </c:extLst>
            </c:dLbl>
            <c:dLbl>
              <c:idx val="3"/>
              <c:layout>
                <c:manualLayout>
                  <c:x val="-9.3896713615024621E-3"/>
                  <c:y val="-0.20253159173883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07-4ABE-94FD-7E2E7BDFF699}"/>
                </c:ext>
              </c:extLst>
            </c:dLbl>
            <c:dLbl>
              <c:idx val="4"/>
              <c:layout>
                <c:manualLayout>
                  <c:x val="9.3896713615022331E-3"/>
                  <c:y val="-0.141772114217186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07-4ABE-94FD-7E2E7BDFF699}"/>
                </c:ext>
              </c:extLst>
            </c:dLbl>
            <c:dLbl>
              <c:idx val="5"/>
              <c:layout>
                <c:manualLayout>
                  <c:x val="-1.1476132424130698E-16"/>
                  <c:y val="-0.29704633455029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07-4ABE-94FD-7E2E7BDFF6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ANALYSIS!$A$4:$A$10</c:f>
              <c:strCache>
                <c:ptCount val="6"/>
                <c:pt idx="0">
                  <c:v>Jan</c:v>
                </c:pt>
                <c:pt idx="1">
                  <c:v>Feb</c:v>
                </c:pt>
                <c:pt idx="2">
                  <c:v>Mar</c:v>
                </c:pt>
                <c:pt idx="3">
                  <c:v>Apr</c:v>
                </c:pt>
                <c:pt idx="4">
                  <c:v>May</c:v>
                </c:pt>
                <c:pt idx="5">
                  <c:v>Jun</c:v>
                </c:pt>
              </c:strCache>
            </c:strRef>
          </c:cat>
          <c:val>
            <c:numRef>
              <c:f>ANALYSIS!$B$4:$B$10</c:f>
              <c:numCache>
                <c:formatCode>#,##0</c:formatCode>
                <c:ptCount val="6"/>
                <c:pt idx="0">
                  <c:v>177447.65</c:v>
                </c:pt>
                <c:pt idx="1">
                  <c:v>662610.15</c:v>
                </c:pt>
                <c:pt idx="2">
                  <c:v>411976.65</c:v>
                </c:pt>
                <c:pt idx="3">
                  <c:v>496053.4</c:v>
                </c:pt>
                <c:pt idx="4">
                  <c:v>265665.5</c:v>
                </c:pt>
                <c:pt idx="5">
                  <c:v>615611.19999999995</c:v>
                </c:pt>
              </c:numCache>
            </c:numRef>
          </c:val>
          <c:extLst>
            <c:ext xmlns:c16="http://schemas.microsoft.com/office/drawing/2014/chart" uri="{C3380CC4-5D6E-409C-BE32-E72D297353CC}">
              <c16:uniqueId val="{00000006-5F07-4ABE-94FD-7E2E7BDFF699}"/>
            </c:ext>
          </c:extLst>
        </c:ser>
        <c:dLbls>
          <c:showLegendKey val="0"/>
          <c:showVal val="0"/>
          <c:showCatName val="0"/>
          <c:showSerName val="0"/>
          <c:showPercent val="0"/>
          <c:showBubbleSize val="0"/>
        </c:dLbls>
        <c:axId val="1764528271"/>
        <c:axId val="1764517871"/>
      </c:areaChart>
      <c:catAx>
        <c:axId val="176452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4517871"/>
        <c:crosses val="autoZero"/>
        <c:auto val="1"/>
        <c:lblAlgn val="ctr"/>
        <c:lblOffset val="100"/>
        <c:noMultiLvlLbl val="0"/>
      </c:catAx>
      <c:valAx>
        <c:axId val="17645178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4528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339966">
            <a:tint val="66000"/>
            <a:satMod val="160000"/>
          </a:srgbClr>
        </a:gs>
        <a:gs pos="50000">
          <a:srgbClr val="339966">
            <a:tint val="44500"/>
            <a:satMod val="160000"/>
          </a:srgbClr>
        </a:gs>
        <a:gs pos="100000">
          <a:srgbClr val="339966">
            <a:tint val="23500"/>
            <a:satMod val="160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rgbClr val="1D4734"/>
                </a:solidFill>
              </a:rPr>
              <a:t>PROFIT</a:t>
            </a:r>
            <a:r>
              <a:rPr lang="en-IN" sz="1100" b="1" baseline="0">
                <a:solidFill>
                  <a:srgbClr val="1D4734"/>
                </a:solidFill>
              </a:rPr>
              <a:t> BY REGION</a:t>
            </a:r>
            <a:endParaRPr lang="en-IN" sz="1100" b="1">
              <a:solidFill>
                <a:srgbClr val="1D4734"/>
              </a:solidFill>
            </a:endParaRPr>
          </a:p>
        </c:rich>
      </c:tx>
      <c:layout>
        <c:manualLayout>
          <c:xMode val="edge"/>
          <c:yMode val="edge"/>
          <c:x val="2.7082239720034986E-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3001481578502"/>
          <c:y val="0.18758938356566307"/>
          <c:w val="0.62324889576873199"/>
          <c:h val="0.59807560221959055"/>
        </c:manualLayout>
      </c:layout>
      <c:barChart>
        <c:barDir val="col"/>
        <c:grouping val="clustered"/>
        <c:varyColors val="0"/>
        <c:ser>
          <c:idx val="0"/>
          <c:order val="0"/>
          <c:tx>
            <c:strRef>
              <c:f>ANALYSIS!$B$13</c:f>
              <c:strCache>
                <c:ptCount val="1"/>
                <c:pt idx="0">
                  <c:v>Sum of Sales</c:v>
                </c:pt>
              </c:strCache>
            </c:strRef>
          </c:tx>
          <c:spPr>
            <a:solidFill>
              <a:srgbClr val="00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ANALYSIS!$A$14:$A$20</c:f>
              <c:strCache>
                <c:ptCount val="6"/>
                <c:pt idx="0">
                  <c:v>East</c:v>
                </c:pt>
                <c:pt idx="1">
                  <c:v>North</c:v>
                </c:pt>
                <c:pt idx="2">
                  <c:v>South</c:v>
                </c:pt>
                <c:pt idx="3">
                  <c:v>Unknown</c:v>
                </c:pt>
                <c:pt idx="4">
                  <c:v>West</c:v>
                </c:pt>
                <c:pt idx="5">
                  <c:v>South </c:v>
                </c:pt>
              </c:strCache>
            </c:strRef>
          </c:cat>
          <c:val>
            <c:numRef>
              <c:f>ANALYSIS!$B$14:$B$20</c:f>
              <c:numCache>
                <c:formatCode>#,##0</c:formatCode>
                <c:ptCount val="6"/>
                <c:pt idx="0">
                  <c:v>650732.74999999977</c:v>
                </c:pt>
                <c:pt idx="1">
                  <c:v>496216.65</c:v>
                </c:pt>
                <c:pt idx="2">
                  <c:v>616273.75</c:v>
                </c:pt>
                <c:pt idx="3">
                  <c:v>1166.2</c:v>
                </c:pt>
                <c:pt idx="4">
                  <c:v>858555.1</c:v>
                </c:pt>
                <c:pt idx="5">
                  <c:v>6420.1</c:v>
                </c:pt>
              </c:numCache>
            </c:numRef>
          </c:val>
          <c:extLst>
            <c:ext xmlns:c16="http://schemas.microsoft.com/office/drawing/2014/chart" uri="{C3380CC4-5D6E-409C-BE32-E72D297353CC}">
              <c16:uniqueId val="{00000000-E300-4451-A952-A156C10361C8}"/>
            </c:ext>
          </c:extLst>
        </c:ser>
        <c:ser>
          <c:idx val="1"/>
          <c:order val="1"/>
          <c:tx>
            <c:strRef>
              <c:f>ANALYSIS!$C$13</c:f>
              <c:strCache>
                <c:ptCount val="1"/>
                <c:pt idx="0">
                  <c:v>Sum of Profit</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ANALYSIS!$A$14:$A$20</c:f>
              <c:strCache>
                <c:ptCount val="6"/>
                <c:pt idx="0">
                  <c:v>East</c:v>
                </c:pt>
                <c:pt idx="1">
                  <c:v>North</c:v>
                </c:pt>
                <c:pt idx="2">
                  <c:v>South</c:v>
                </c:pt>
                <c:pt idx="3">
                  <c:v>Unknown</c:v>
                </c:pt>
                <c:pt idx="4">
                  <c:v>West</c:v>
                </c:pt>
                <c:pt idx="5">
                  <c:v>South </c:v>
                </c:pt>
              </c:strCache>
            </c:strRef>
          </c:cat>
          <c:val>
            <c:numRef>
              <c:f>ANALYSIS!$C$14:$C$20</c:f>
              <c:numCache>
                <c:formatCode>#,##0</c:formatCode>
                <c:ptCount val="6"/>
                <c:pt idx="0">
                  <c:v>195442.47999999992</c:v>
                </c:pt>
                <c:pt idx="1">
                  <c:v>162816.98000000004</c:v>
                </c:pt>
                <c:pt idx="2">
                  <c:v>196283.07</c:v>
                </c:pt>
                <c:pt idx="3">
                  <c:v>405.15</c:v>
                </c:pt>
                <c:pt idx="4">
                  <c:v>222648.75</c:v>
                </c:pt>
                <c:pt idx="5">
                  <c:v>2407.09</c:v>
                </c:pt>
              </c:numCache>
            </c:numRef>
          </c:val>
          <c:extLst>
            <c:ext xmlns:c16="http://schemas.microsoft.com/office/drawing/2014/chart" uri="{C3380CC4-5D6E-409C-BE32-E72D297353CC}">
              <c16:uniqueId val="{00000001-E300-4451-A952-A156C10361C8}"/>
            </c:ext>
          </c:extLst>
        </c:ser>
        <c:dLbls>
          <c:dLblPos val="outEnd"/>
          <c:showLegendKey val="0"/>
          <c:showVal val="1"/>
          <c:showCatName val="0"/>
          <c:showSerName val="0"/>
          <c:showPercent val="0"/>
          <c:showBubbleSize val="0"/>
        </c:dLbls>
        <c:gapWidth val="150"/>
        <c:axId val="2071215567"/>
        <c:axId val="2071222223"/>
      </c:barChart>
      <c:catAx>
        <c:axId val="2071215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71222223"/>
        <c:crosses val="autoZero"/>
        <c:auto val="1"/>
        <c:lblAlgn val="ctr"/>
        <c:lblOffset val="100"/>
        <c:noMultiLvlLbl val="0"/>
      </c:catAx>
      <c:valAx>
        <c:axId val="2071222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712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339966">
            <a:tint val="66000"/>
            <a:satMod val="160000"/>
          </a:srgbClr>
        </a:gs>
        <a:gs pos="50000">
          <a:srgbClr val="339966">
            <a:tint val="44500"/>
            <a:satMod val="160000"/>
          </a:srgbClr>
        </a:gs>
        <a:gs pos="100000">
          <a:srgbClr val="339966">
            <a:tint val="23500"/>
            <a:satMod val="160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1D4734"/>
                </a:solidFill>
              </a:rPr>
              <a:t>SALES BY CATEGORY</a:t>
            </a:r>
          </a:p>
        </c:rich>
      </c:tx>
      <c:layout>
        <c:manualLayout>
          <c:xMode val="edge"/>
          <c:yMode val="edge"/>
          <c:x val="3.405404943274598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92D050"/>
          </a:solidFill>
          <a:ln w="25400">
            <a:solidFill>
              <a:schemeClr val="lt1"/>
            </a:solidFill>
          </a:ln>
          <a:effectLst/>
          <a:sp3d contourW="25400">
            <a:contourClr>
              <a:schemeClr val="lt1"/>
            </a:contourClr>
          </a:sp3d>
        </c:spPr>
      </c:pivotFmt>
      <c:pivotFmt>
        <c:idx val="7"/>
        <c:spPr>
          <a:solidFill>
            <a:srgbClr val="0066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ANALYSIS!$H$3</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D5AA-4E3C-A9F0-1B7D2C2C5CB5}"/>
              </c:ext>
            </c:extLst>
          </c:dPt>
          <c:dPt>
            <c:idx val="1"/>
            <c:bubble3D val="0"/>
            <c:spPr>
              <a:solidFill>
                <a:srgbClr val="0066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D5AA-4E3C-A9F0-1B7D2C2C5C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ANALYSIS!$G$4:$G$6</c:f>
              <c:strCache>
                <c:ptCount val="2"/>
                <c:pt idx="0">
                  <c:v>Accessories</c:v>
                </c:pt>
                <c:pt idx="1">
                  <c:v>Electronics</c:v>
                </c:pt>
              </c:strCache>
            </c:strRef>
          </c:cat>
          <c:val>
            <c:numRef>
              <c:f>ANALYSIS!$H$4:$H$6</c:f>
              <c:numCache>
                <c:formatCode>#,##0</c:formatCode>
                <c:ptCount val="2"/>
                <c:pt idx="0">
                  <c:v>237219.50000000006</c:v>
                </c:pt>
                <c:pt idx="1">
                  <c:v>2392145.0500000003</c:v>
                </c:pt>
              </c:numCache>
            </c:numRef>
          </c:val>
          <c:extLst>
            <c:ext xmlns:c16="http://schemas.microsoft.com/office/drawing/2014/chart" uri="{C3380CC4-5D6E-409C-BE32-E72D297353CC}">
              <c16:uniqueId val="{00000004-D5AA-4E3C-A9F0-1B7D2C2C5CB5}"/>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(1).xlsx]ANALYSIS!PivotTable4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1D4734"/>
                </a:solidFill>
              </a:rPr>
              <a:t>QUANTITY</a:t>
            </a:r>
            <a:r>
              <a:rPr lang="en-US" sz="1100" b="1" baseline="0">
                <a:solidFill>
                  <a:srgbClr val="1D4734"/>
                </a:solidFill>
              </a:rPr>
              <a:t> SOLD BY PRODUCT</a:t>
            </a:r>
            <a:endParaRPr lang="en-US" sz="1100" b="1">
              <a:solidFill>
                <a:srgbClr val="1D4734"/>
              </a:solidFill>
            </a:endParaRPr>
          </a:p>
        </c:rich>
      </c:tx>
      <c:layout>
        <c:manualLayout>
          <c:xMode val="edge"/>
          <c:yMode val="edge"/>
          <c:x val="3.1500119637079306E-2"/>
          <c:y val="2.0686266298126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ANALYSIS!$F$13</c:f>
              <c:strCache>
                <c:ptCount val="1"/>
                <c:pt idx="0">
                  <c:v>Total</c:v>
                </c:pt>
              </c:strCache>
            </c:strRef>
          </c:tx>
          <c:spPr>
            <a:solidFill>
              <a:srgbClr val="00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ANALYSIS!$E$14:$E$20</c:f>
              <c:strCache>
                <c:ptCount val="6"/>
                <c:pt idx="0">
                  <c:v>Mouse </c:v>
                </c:pt>
                <c:pt idx="1">
                  <c:v>Laptop</c:v>
                </c:pt>
                <c:pt idx="2">
                  <c:v>Keyboard</c:v>
                </c:pt>
                <c:pt idx="3">
                  <c:v>Headset</c:v>
                </c:pt>
                <c:pt idx="4">
                  <c:v>Mouse</c:v>
                </c:pt>
                <c:pt idx="5">
                  <c:v>Monitor</c:v>
                </c:pt>
              </c:strCache>
            </c:strRef>
          </c:cat>
          <c:val>
            <c:numRef>
              <c:f>ANALYSIS!$F$14:$F$20</c:f>
              <c:numCache>
                <c:formatCode>#,##0</c:formatCode>
                <c:ptCount val="6"/>
                <c:pt idx="0">
                  <c:v>1</c:v>
                </c:pt>
                <c:pt idx="1">
                  <c:v>30</c:v>
                </c:pt>
                <c:pt idx="2">
                  <c:v>32</c:v>
                </c:pt>
                <c:pt idx="3">
                  <c:v>39</c:v>
                </c:pt>
                <c:pt idx="4">
                  <c:v>51</c:v>
                </c:pt>
                <c:pt idx="5">
                  <c:v>66</c:v>
                </c:pt>
              </c:numCache>
            </c:numRef>
          </c:val>
          <c:extLst>
            <c:ext xmlns:c16="http://schemas.microsoft.com/office/drawing/2014/chart" uri="{C3380CC4-5D6E-409C-BE32-E72D297353CC}">
              <c16:uniqueId val="{00000000-79F5-4F21-ACBB-A90D226834FA}"/>
            </c:ext>
          </c:extLst>
        </c:ser>
        <c:dLbls>
          <c:dLblPos val="outEnd"/>
          <c:showLegendKey val="0"/>
          <c:showVal val="1"/>
          <c:showCatName val="0"/>
          <c:showSerName val="0"/>
          <c:showPercent val="0"/>
          <c:showBubbleSize val="0"/>
        </c:dLbls>
        <c:gapWidth val="182"/>
        <c:axId val="1419867712"/>
        <c:axId val="1419868544"/>
      </c:barChart>
      <c:catAx>
        <c:axId val="141986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9868544"/>
        <c:crosses val="autoZero"/>
        <c:auto val="1"/>
        <c:lblAlgn val="ctr"/>
        <c:lblOffset val="100"/>
        <c:noMultiLvlLbl val="0"/>
      </c:catAx>
      <c:valAx>
        <c:axId val="14198685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986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(1).xlsx]ANALYSIS!PivotTable6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1D4734"/>
                </a:solidFill>
              </a:rPr>
              <a:t>ORDERS</a:t>
            </a:r>
            <a:r>
              <a:rPr lang="en-US" sz="1100" b="1" baseline="0">
                <a:solidFill>
                  <a:srgbClr val="1D4734"/>
                </a:solidFill>
              </a:rPr>
              <a:t> OVER TIME</a:t>
            </a:r>
            <a:endParaRPr lang="en-US" sz="1100" b="1">
              <a:solidFill>
                <a:srgbClr val="1D4734"/>
              </a:solidFill>
            </a:endParaRPr>
          </a:p>
        </c:rich>
      </c:tx>
      <c:layout>
        <c:manualLayout>
          <c:xMode val="edge"/>
          <c:yMode val="edge"/>
          <c:x val="1.1753719774661756E-2"/>
          <c:y val="4.2179881687671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0"/>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8.3333333333333332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1.388888888888899E-2"/>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2.5462668816039986E-1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8.333333333333333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8.333333333333333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2.5462668816039986E-1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8.3333333333333332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0"/>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1.388888888888899E-2"/>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8.333333333333333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2.5462668816039986E-1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8.3333333333333332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0"/>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1.388888888888899E-2"/>
              <c:y val="-0.36574074074074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ANALYSIS!$B$22</c:f>
              <c:strCache>
                <c:ptCount val="1"/>
                <c:pt idx="0">
                  <c:v>Total</c:v>
                </c:pt>
              </c:strCache>
            </c:strRef>
          </c:tx>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5400000" scaled="1"/>
              <a:tileRect/>
            </a:gradFill>
            <a:ln w="31750">
              <a:solidFill>
                <a:srgbClr val="1D4734">
                  <a:alpha val="98000"/>
                </a:srgbClr>
              </a:solidFill>
            </a:ln>
            <a:effectLst/>
          </c:spPr>
          <c:dPt>
            <c:idx val="0"/>
            <c:bubble3D val="0"/>
            <c:extLst>
              <c:ext xmlns:c16="http://schemas.microsoft.com/office/drawing/2014/chart" uri="{C3380CC4-5D6E-409C-BE32-E72D297353CC}">
                <c16:uniqueId val="{00000000-A132-4698-8763-5724C1781760}"/>
              </c:ext>
            </c:extLst>
          </c:dPt>
          <c:dPt>
            <c:idx val="1"/>
            <c:bubble3D val="0"/>
            <c:extLst>
              <c:ext xmlns:c16="http://schemas.microsoft.com/office/drawing/2014/chart" uri="{C3380CC4-5D6E-409C-BE32-E72D297353CC}">
                <c16:uniqueId val="{00000001-A132-4698-8763-5724C1781760}"/>
              </c:ext>
            </c:extLst>
          </c:dPt>
          <c:dPt>
            <c:idx val="2"/>
            <c:bubble3D val="0"/>
            <c:extLst>
              <c:ext xmlns:c16="http://schemas.microsoft.com/office/drawing/2014/chart" uri="{C3380CC4-5D6E-409C-BE32-E72D297353CC}">
                <c16:uniqueId val="{00000002-A132-4698-8763-5724C1781760}"/>
              </c:ext>
            </c:extLst>
          </c:dPt>
          <c:dPt>
            <c:idx val="3"/>
            <c:bubble3D val="0"/>
            <c:extLst>
              <c:ext xmlns:c16="http://schemas.microsoft.com/office/drawing/2014/chart" uri="{C3380CC4-5D6E-409C-BE32-E72D297353CC}">
                <c16:uniqueId val="{00000003-A132-4698-8763-5724C1781760}"/>
              </c:ext>
            </c:extLst>
          </c:dPt>
          <c:dPt>
            <c:idx val="4"/>
            <c:bubble3D val="0"/>
            <c:extLst>
              <c:ext xmlns:c16="http://schemas.microsoft.com/office/drawing/2014/chart" uri="{C3380CC4-5D6E-409C-BE32-E72D297353CC}">
                <c16:uniqueId val="{00000004-A132-4698-8763-5724C1781760}"/>
              </c:ext>
            </c:extLst>
          </c:dPt>
          <c:dPt>
            <c:idx val="5"/>
            <c:bubble3D val="0"/>
            <c:extLst>
              <c:ext xmlns:c16="http://schemas.microsoft.com/office/drawing/2014/chart" uri="{C3380CC4-5D6E-409C-BE32-E72D297353CC}">
                <c16:uniqueId val="{00000005-A132-4698-8763-5724C1781760}"/>
              </c:ext>
            </c:extLst>
          </c:dPt>
          <c:dLbls>
            <c:dLbl>
              <c:idx val="0"/>
              <c:layout>
                <c:manualLayout>
                  <c:x val="-8.3333333333333332E-3"/>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32-4698-8763-5724C1781760}"/>
                </c:ext>
              </c:extLst>
            </c:dLbl>
            <c:dLbl>
              <c:idx val="1"/>
              <c:layout>
                <c:manualLayout>
                  <c:x val="-2.5462668816039986E-17"/>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32-4698-8763-5724C1781760}"/>
                </c:ext>
              </c:extLst>
            </c:dLbl>
            <c:dLbl>
              <c:idx val="2"/>
              <c:layout>
                <c:manualLayout>
                  <c:x val="-8.3333333333333332E-3"/>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32-4698-8763-5724C1781760}"/>
                </c:ext>
              </c:extLst>
            </c:dLbl>
            <c:dLbl>
              <c:idx val="3"/>
              <c:layout>
                <c:manualLayout>
                  <c:x val="0"/>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32-4698-8763-5724C1781760}"/>
                </c:ext>
              </c:extLst>
            </c:dLbl>
            <c:dLbl>
              <c:idx val="4"/>
              <c:layout>
                <c:manualLayout>
                  <c:x val="-1.388888888888899E-2"/>
                  <c:y val="-0.36574074074074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32-4698-8763-5724C1781760}"/>
                </c:ext>
              </c:extLst>
            </c:dLbl>
            <c:dLbl>
              <c:idx val="5"/>
              <c:layout>
                <c:manualLayout>
                  <c:x val="0"/>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32-4698-8763-5724C17817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ANALYSIS!$A$23:$A$29</c:f>
              <c:strCache>
                <c:ptCount val="6"/>
                <c:pt idx="0">
                  <c:v>Jan</c:v>
                </c:pt>
                <c:pt idx="1">
                  <c:v>Feb</c:v>
                </c:pt>
                <c:pt idx="2">
                  <c:v>Mar</c:v>
                </c:pt>
                <c:pt idx="3">
                  <c:v>Apr</c:v>
                </c:pt>
                <c:pt idx="4">
                  <c:v>May</c:v>
                </c:pt>
                <c:pt idx="5">
                  <c:v>Jun</c:v>
                </c:pt>
              </c:strCache>
            </c:strRef>
          </c:cat>
          <c:val>
            <c:numRef>
              <c:f>ANALYSIS!$B$23:$B$29</c:f>
              <c:numCache>
                <c:formatCode>#,##0</c:formatCode>
                <c:ptCount val="6"/>
                <c:pt idx="0">
                  <c:v>14</c:v>
                </c:pt>
                <c:pt idx="1">
                  <c:v>12</c:v>
                </c:pt>
                <c:pt idx="2">
                  <c:v>14</c:v>
                </c:pt>
                <c:pt idx="3">
                  <c:v>13</c:v>
                </c:pt>
                <c:pt idx="4">
                  <c:v>14</c:v>
                </c:pt>
                <c:pt idx="5">
                  <c:v>13</c:v>
                </c:pt>
              </c:numCache>
            </c:numRef>
          </c:val>
          <c:extLst>
            <c:ext xmlns:c16="http://schemas.microsoft.com/office/drawing/2014/chart" uri="{C3380CC4-5D6E-409C-BE32-E72D297353CC}">
              <c16:uniqueId val="{00000006-A132-4698-8763-5724C1781760}"/>
            </c:ext>
          </c:extLst>
        </c:ser>
        <c:dLbls>
          <c:showLegendKey val="0"/>
          <c:showVal val="0"/>
          <c:showCatName val="0"/>
          <c:showSerName val="0"/>
          <c:showPercent val="0"/>
          <c:showBubbleSize val="0"/>
        </c:dLbls>
        <c:axId val="1313753584"/>
        <c:axId val="1313747760"/>
      </c:areaChart>
      <c:catAx>
        <c:axId val="13137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3747760"/>
        <c:crosses val="autoZero"/>
        <c:auto val="1"/>
        <c:lblAlgn val="ctr"/>
        <c:lblOffset val="100"/>
        <c:noMultiLvlLbl val="0"/>
      </c:catAx>
      <c:valAx>
        <c:axId val="1313747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3753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008000">
            <a:tint val="66000"/>
            <a:satMod val="160000"/>
          </a:srgbClr>
        </a:gs>
        <a:gs pos="50000">
          <a:srgbClr val="008000">
            <a:tint val="44500"/>
            <a:satMod val="160000"/>
          </a:srgbClr>
        </a:gs>
        <a:gs pos="100000">
          <a:srgbClr val="008000">
            <a:tint val="23500"/>
            <a:satMod val="160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(1).xlsx]ANALYSIS!PivotTable7</c:name>
    <c:fmtId val="2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b="1">
                <a:solidFill>
                  <a:srgbClr val="1D4734"/>
                </a:solidFill>
              </a:rPr>
              <a:t>SALES</a:t>
            </a:r>
            <a:r>
              <a:rPr lang="en-US" sz="1100" b="1" baseline="0">
                <a:solidFill>
                  <a:srgbClr val="1D4734"/>
                </a:solidFill>
              </a:rPr>
              <a:t> BY PAYMENT MODE</a:t>
            </a:r>
            <a:endParaRPr lang="en-US" sz="1100" b="1">
              <a:solidFill>
                <a:srgbClr val="1D4734"/>
              </a:solidFill>
            </a:endParaRPr>
          </a:p>
        </c:rich>
      </c:tx>
      <c:layout>
        <c:manualLayout>
          <c:xMode val="edge"/>
          <c:yMode val="edge"/>
          <c:x val="3.6031327763112644E-2"/>
          <c:y val="4.889221644825401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CC6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00660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CC6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00660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CC6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006600"/>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ANALYSIS!$E$22</c:f>
              <c:strCache>
                <c:ptCount val="1"/>
                <c:pt idx="0">
                  <c:v>Total</c:v>
                </c:pt>
              </c:strCache>
            </c:strRef>
          </c:tx>
          <c:dPt>
            <c:idx val="0"/>
            <c:bubble3D val="0"/>
            <c:spPr>
              <a:solidFill>
                <a:srgbClr val="00CC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E3-4D98-B166-72C1AE273A3E}"/>
              </c:ext>
            </c:extLst>
          </c:dPt>
          <c:dPt>
            <c:idx val="1"/>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E3-4D98-B166-72C1AE273A3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E3-4D98-B166-72C1AE273A3E}"/>
              </c:ext>
            </c:extLst>
          </c:dPt>
          <c:dPt>
            <c:idx val="3"/>
            <c:bubble3D val="0"/>
            <c:spPr>
              <a:solidFill>
                <a:srgbClr val="0066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9E3-4D98-B166-72C1AE273A3E}"/>
              </c:ext>
            </c:extLst>
          </c:dPt>
          <c:dPt>
            <c:idx val="4"/>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9E3-4D98-B166-72C1AE273A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ANALYSIS!$D$23:$D$28</c:f>
              <c:strCache>
                <c:ptCount val="5"/>
                <c:pt idx="0">
                  <c:v>Card</c:v>
                </c:pt>
                <c:pt idx="1">
                  <c:v>Card </c:v>
                </c:pt>
                <c:pt idx="2">
                  <c:v>Cash</c:v>
                </c:pt>
                <c:pt idx="3">
                  <c:v>Net Banking</c:v>
                </c:pt>
                <c:pt idx="4">
                  <c:v>UPI</c:v>
                </c:pt>
              </c:strCache>
            </c:strRef>
          </c:cat>
          <c:val>
            <c:numRef>
              <c:f>ANALYSIS!$E$23:$E$28</c:f>
              <c:numCache>
                <c:formatCode>#,##0</c:formatCode>
                <c:ptCount val="5"/>
                <c:pt idx="0">
                  <c:v>233849.65</c:v>
                </c:pt>
                <c:pt idx="1">
                  <c:v>47174.15</c:v>
                </c:pt>
                <c:pt idx="2">
                  <c:v>549002.25</c:v>
                </c:pt>
                <c:pt idx="3">
                  <c:v>940255</c:v>
                </c:pt>
                <c:pt idx="4">
                  <c:v>859083.49999999988</c:v>
                </c:pt>
              </c:numCache>
            </c:numRef>
          </c:val>
          <c:extLst>
            <c:ext xmlns:c16="http://schemas.microsoft.com/office/drawing/2014/chart" uri="{C3380CC4-5D6E-409C-BE32-E72D297353CC}">
              <c16:uniqueId val="{0000000A-29E3-4D98-B166-72C1AE273A3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339966">
            <a:tint val="66000"/>
            <a:satMod val="160000"/>
          </a:srgbClr>
        </a:gs>
        <a:gs pos="50000">
          <a:srgbClr val="339966">
            <a:tint val="44500"/>
            <a:satMod val="160000"/>
          </a:srgbClr>
        </a:gs>
        <a:gs pos="100000">
          <a:srgbClr val="339966">
            <a:tint val="23500"/>
            <a:satMod val="160000"/>
          </a:srgb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hyperlink" Target="#ANALYSIS!A1"/><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17" Type="http://schemas.openxmlformats.org/officeDocument/2006/relationships/image" Target="../media/image10.png"/><Relationship Id="rId2" Type="http://schemas.openxmlformats.org/officeDocument/2006/relationships/chart" Target="../charts/chart1.xml"/><Relationship Id="rId16" Type="http://schemas.openxmlformats.org/officeDocument/2006/relationships/hyperlink" Target="#DASHBOARD!A1"/><Relationship Id="rId20" Type="http://schemas.openxmlformats.org/officeDocument/2006/relationships/image" Target="../media/image11.png"/><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hyperlink" Target="#DATA!A1"/><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8</xdr:col>
      <xdr:colOff>571500</xdr:colOff>
      <xdr:row>2</xdr:row>
      <xdr:rowOff>28575</xdr:rowOff>
    </xdr:from>
    <xdr:to>
      <xdr:col>9</xdr:col>
      <xdr:colOff>333375</xdr:colOff>
      <xdr:row>4</xdr:row>
      <xdr:rowOff>9525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759C2AD-EEEC-4228-AC32-E2A6B8EE42AE}"/>
            </a:ext>
          </a:extLst>
        </xdr:cNvPr>
        <xdr:cNvSpPr/>
      </xdr:nvSpPr>
      <xdr:spPr>
        <a:xfrm>
          <a:off x="7496175" y="409575"/>
          <a:ext cx="600075" cy="361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117475</xdr:colOff>
      <xdr:row>1</xdr:row>
      <xdr:rowOff>123824</xdr:rowOff>
    </xdr:from>
    <xdr:to>
      <xdr:col>18</xdr:col>
      <xdr:colOff>349250</xdr:colOff>
      <xdr:row>38</xdr:row>
      <xdr:rowOff>174625</xdr:rowOff>
    </xdr:to>
    <xdr:sp macro="" textlink="">
      <xdr:nvSpPr>
        <xdr:cNvPr id="2" name="Rectangle 1">
          <a:extLst>
            <a:ext uri="{FF2B5EF4-FFF2-40B4-BE49-F238E27FC236}">
              <a16:creationId xmlns:a16="http://schemas.microsoft.com/office/drawing/2014/main" id="{A6B588B0-378E-4412-A643-BAE6A2962D37}"/>
            </a:ext>
          </a:extLst>
        </xdr:cNvPr>
        <xdr:cNvSpPr/>
      </xdr:nvSpPr>
      <xdr:spPr>
        <a:xfrm>
          <a:off x="720725" y="314324"/>
          <a:ext cx="10487025" cy="7178676"/>
        </a:xfrm>
        <a:prstGeom prst="rect">
          <a:avLst/>
        </a:prstGeom>
        <a:solidFill>
          <a:srgbClr val="1D473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95250</xdr:colOff>
      <xdr:row>1</xdr:row>
      <xdr:rowOff>123220</xdr:rowOff>
    </xdr:from>
    <xdr:to>
      <xdr:col>18</xdr:col>
      <xdr:colOff>396875</xdr:colOff>
      <xdr:row>38</xdr:row>
      <xdr:rowOff>174625</xdr:rowOff>
    </xdr:to>
    <xdr:pic>
      <xdr:nvPicPr>
        <xdr:cNvPr id="4" name="Picture 3">
          <a:extLst>
            <a:ext uri="{FF2B5EF4-FFF2-40B4-BE49-F238E27FC236}">
              <a16:creationId xmlns:a16="http://schemas.microsoft.com/office/drawing/2014/main" id="{9A68A421-7F6B-48CC-A8C7-B6B1FCC6AA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500" y="313720"/>
          <a:ext cx="10556875" cy="7179280"/>
        </a:xfrm>
        <a:prstGeom prst="rect">
          <a:avLst/>
        </a:prstGeom>
      </xdr:spPr>
    </xdr:pic>
    <xdr:clientData/>
  </xdr:twoCellAnchor>
  <xdr:twoCellAnchor>
    <xdr:from>
      <xdr:col>4</xdr:col>
      <xdr:colOff>66675</xdr:colOff>
      <xdr:row>3</xdr:row>
      <xdr:rowOff>57150</xdr:rowOff>
    </xdr:from>
    <xdr:to>
      <xdr:col>14</xdr:col>
      <xdr:colOff>76200</xdr:colOff>
      <xdr:row>6</xdr:row>
      <xdr:rowOff>85725</xdr:rowOff>
    </xdr:to>
    <xdr:sp macro="" textlink="">
      <xdr:nvSpPr>
        <xdr:cNvPr id="5" name="TextBox 4">
          <a:extLst>
            <a:ext uri="{FF2B5EF4-FFF2-40B4-BE49-F238E27FC236}">
              <a16:creationId xmlns:a16="http://schemas.microsoft.com/office/drawing/2014/main" id="{00C71CCC-1DEA-41CC-8A61-3CA23886286E}"/>
            </a:ext>
          </a:extLst>
        </xdr:cNvPr>
        <xdr:cNvSpPr txBox="1"/>
      </xdr:nvSpPr>
      <xdr:spPr>
        <a:xfrm>
          <a:off x="2505075" y="628650"/>
          <a:ext cx="610552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Bahnschrift SemiBold" panose="020B0502040204020203" pitchFamily="34" charset="0"/>
            </a:rPr>
            <a:t>SALES</a:t>
          </a:r>
          <a:r>
            <a:rPr lang="en-IN" sz="2000" baseline="0">
              <a:solidFill>
                <a:schemeClr val="bg1"/>
              </a:solidFill>
              <a:latin typeface="Bahnschrift SemiBold" panose="020B0502040204020203" pitchFamily="34" charset="0"/>
            </a:rPr>
            <a:t> ANALYTICS </a:t>
          </a:r>
          <a:r>
            <a:rPr lang="en-IN" sz="2000" baseline="0">
              <a:solidFill>
                <a:schemeClr val="accent3">
                  <a:lumMod val="60000"/>
                  <a:lumOff val="40000"/>
                </a:schemeClr>
              </a:solidFill>
              <a:latin typeface="Bahnschrift SemiBold" panose="020B0502040204020203" pitchFamily="34" charset="0"/>
            </a:rPr>
            <a:t>DASHBOARD</a:t>
          </a:r>
          <a:endParaRPr lang="en-IN" sz="2000">
            <a:solidFill>
              <a:schemeClr val="accent3">
                <a:lumMod val="60000"/>
                <a:lumOff val="40000"/>
              </a:schemeClr>
            </a:solidFill>
            <a:latin typeface="Bahnschrift SemiBold" panose="020B0502040204020203" pitchFamily="34" charset="0"/>
          </a:endParaRPr>
        </a:p>
      </xdr:txBody>
    </xdr:sp>
    <xdr:clientData/>
  </xdr:twoCellAnchor>
  <xdr:twoCellAnchor>
    <xdr:from>
      <xdr:col>4</xdr:col>
      <xdr:colOff>190501</xdr:colOff>
      <xdr:row>5</xdr:row>
      <xdr:rowOff>47625</xdr:rowOff>
    </xdr:from>
    <xdr:to>
      <xdr:col>9</xdr:col>
      <xdr:colOff>590550</xdr:colOff>
      <xdr:row>7</xdr:row>
      <xdr:rowOff>0</xdr:rowOff>
    </xdr:to>
    <xdr:sp macro="" textlink="">
      <xdr:nvSpPr>
        <xdr:cNvPr id="6" name="TextBox 5">
          <a:extLst>
            <a:ext uri="{FF2B5EF4-FFF2-40B4-BE49-F238E27FC236}">
              <a16:creationId xmlns:a16="http://schemas.microsoft.com/office/drawing/2014/main" id="{606AD178-5052-4D4F-9C79-1EAAC2371F83}"/>
            </a:ext>
          </a:extLst>
        </xdr:cNvPr>
        <xdr:cNvSpPr txBox="1"/>
      </xdr:nvSpPr>
      <xdr:spPr>
        <a:xfrm>
          <a:off x="2628901" y="1000125"/>
          <a:ext cx="344804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3">
                  <a:lumMod val="75000"/>
                </a:schemeClr>
              </a:solidFill>
            </a:rPr>
            <a:t>Better Data  .</a:t>
          </a:r>
          <a:r>
            <a:rPr lang="en-IN" sz="1100" b="1" baseline="0">
              <a:solidFill>
                <a:schemeClr val="accent3">
                  <a:lumMod val="75000"/>
                </a:schemeClr>
              </a:solidFill>
            </a:rPr>
            <a:t>   Smarter Decisions   .  Stronger Growth</a:t>
          </a:r>
          <a:endParaRPr lang="en-IN" sz="1100" b="1">
            <a:solidFill>
              <a:schemeClr val="accent3">
                <a:lumMod val="75000"/>
              </a:schemeClr>
            </a:solidFill>
          </a:endParaRPr>
        </a:p>
      </xdr:txBody>
    </xdr:sp>
    <xdr:clientData/>
  </xdr:twoCellAnchor>
  <xdr:twoCellAnchor>
    <xdr:from>
      <xdr:col>4</xdr:col>
      <xdr:colOff>52462</xdr:colOff>
      <xdr:row>13</xdr:row>
      <xdr:rowOff>81643</xdr:rowOff>
    </xdr:from>
    <xdr:to>
      <xdr:col>7</xdr:col>
      <xdr:colOff>367392</xdr:colOff>
      <xdr:row>18</xdr:row>
      <xdr:rowOff>54429</xdr:rowOff>
    </xdr:to>
    <xdr:sp macro="" textlink="">
      <xdr:nvSpPr>
        <xdr:cNvPr id="7" name="Rectangle: Rounded Corners 6">
          <a:extLst>
            <a:ext uri="{FF2B5EF4-FFF2-40B4-BE49-F238E27FC236}">
              <a16:creationId xmlns:a16="http://schemas.microsoft.com/office/drawing/2014/main" id="{A7DFCD39-87BB-4E59-A712-D14BB47C1EFE}"/>
            </a:ext>
          </a:extLst>
        </xdr:cNvPr>
        <xdr:cNvSpPr/>
      </xdr:nvSpPr>
      <xdr:spPr>
        <a:xfrm>
          <a:off x="2501748" y="2558143"/>
          <a:ext cx="2151894" cy="925286"/>
        </a:xfrm>
        <a:prstGeom prst="roundRect">
          <a:avLst/>
        </a:prstGeom>
        <a:solidFill>
          <a:srgbClr val="1D4734"/>
        </a:solidFill>
        <a:ln>
          <a:headEnd type="none" w="med" len="med"/>
          <a:tailEnd type="none" w="med" len="med"/>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476251</xdr:colOff>
      <xdr:row>13</xdr:row>
      <xdr:rowOff>108857</xdr:rowOff>
    </xdr:from>
    <xdr:to>
      <xdr:col>11</xdr:col>
      <xdr:colOff>176893</xdr:colOff>
      <xdr:row>18</xdr:row>
      <xdr:rowOff>40821</xdr:rowOff>
    </xdr:to>
    <xdr:sp macro="" textlink="">
      <xdr:nvSpPr>
        <xdr:cNvPr id="8" name="Rectangle: Rounded Corners 7">
          <a:extLst>
            <a:ext uri="{FF2B5EF4-FFF2-40B4-BE49-F238E27FC236}">
              <a16:creationId xmlns:a16="http://schemas.microsoft.com/office/drawing/2014/main" id="{D3B093A2-36AF-4B3B-8218-5279364B0F8A}"/>
            </a:ext>
          </a:extLst>
        </xdr:cNvPr>
        <xdr:cNvSpPr/>
      </xdr:nvSpPr>
      <xdr:spPr>
        <a:xfrm>
          <a:off x="4762501" y="2585357"/>
          <a:ext cx="2149928" cy="884464"/>
        </a:xfrm>
        <a:prstGeom prst="roundRect">
          <a:avLst/>
        </a:prstGeom>
        <a:solidFill>
          <a:srgbClr val="1D4734"/>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244928</xdr:colOff>
      <xdr:row>13</xdr:row>
      <xdr:rowOff>95250</xdr:rowOff>
    </xdr:from>
    <xdr:to>
      <xdr:col>14</xdr:col>
      <xdr:colOff>435429</xdr:colOff>
      <xdr:row>18</xdr:row>
      <xdr:rowOff>40821</xdr:rowOff>
    </xdr:to>
    <xdr:sp macro="" textlink="">
      <xdr:nvSpPr>
        <xdr:cNvPr id="10" name="Rectangle: Rounded Corners 9">
          <a:extLst>
            <a:ext uri="{FF2B5EF4-FFF2-40B4-BE49-F238E27FC236}">
              <a16:creationId xmlns:a16="http://schemas.microsoft.com/office/drawing/2014/main" id="{B7ADDDD6-4629-409D-9AA3-6ECB37B6372E}"/>
            </a:ext>
          </a:extLst>
        </xdr:cNvPr>
        <xdr:cNvSpPr/>
      </xdr:nvSpPr>
      <xdr:spPr>
        <a:xfrm>
          <a:off x="6980464" y="2571750"/>
          <a:ext cx="2027465" cy="898071"/>
        </a:xfrm>
        <a:prstGeom prst="roundRect">
          <a:avLst/>
        </a:prstGeom>
        <a:solidFill>
          <a:srgbClr val="1D4734"/>
        </a:solid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503464</xdr:colOff>
      <xdr:row>13</xdr:row>
      <xdr:rowOff>77107</xdr:rowOff>
    </xdr:from>
    <xdr:to>
      <xdr:col>18</xdr:col>
      <xdr:colOff>234799</xdr:colOff>
      <xdr:row>18</xdr:row>
      <xdr:rowOff>54428</xdr:rowOff>
    </xdr:to>
    <xdr:sp macro="" textlink="">
      <xdr:nvSpPr>
        <xdr:cNvPr id="11" name="Rectangle: Rounded Corners 10">
          <a:extLst>
            <a:ext uri="{FF2B5EF4-FFF2-40B4-BE49-F238E27FC236}">
              <a16:creationId xmlns:a16="http://schemas.microsoft.com/office/drawing/2014/main" id="{804F911E-248B-46F5-A844-564D2EDD7471}"/>
            </a:ext>
          </a:extLst>
        </xdr:cNvPr>
        <xdr:cNvSpPr/>
      </xdr:nvSpPr>
      <xdr:spPr>
        <a:xfrm>
          <a:off x="9075964" y="2553607"/>
          <a:ext cx="2180621" cy="929821"/>
        </a:xfrm>
        <a:prstGeom prst="roundRect">
          <a:avLst/>
        </a:prstGeom>
        <a:solidFill>
          <a:srgbClr val="1D4734"/>
        </a:solid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51858</xdr:colOff>
      <xdr:row>18</xdr:row>
      <xdr:rowOff>136525</xdr:rowOff>
    </xdr:from>
    <xdr:to>
      <xdr:col>8</xdr:col>
      <xdr:colOff>375709</xdr:colOff>
      <xdr:row>28</xdr:row>
      <xdr:rowOff>22225</xdr:rowOff>
    </xdr:to>
    <xdr:graphicFrame macro="">
      <xdr:nvGraphicFramePr>
        <xdr:cNvPr id="12" name="Chart 11">
          <a:extLst>
            <a:ext uri="{FF2B5EF4-FFF2-40B4-BE49-F238E27FC236}">
              <a16:creationId xmlns:a16="http://schemas.microsoft.com/office/drawing/2014/main" id="{9A992366-EF9F-4DFB-B3E6-D807DC732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474133</xdr:colOff>
      <xdr:row>18</xdr:row>
      <xdr:rowOff>133804</xdr:rowOff>
    </xdr:from>
    <xdr:to>
      <xdr:col>14</xdr:col>
      <xdr:colOff>529166</xdr:colOff>
      <xdr:row>28</xdr:row>
      <xdr:rowOff>18143</xdr:rowOff>
    </xdr:to>
    <xdr:graphicFrame macro="">
      <xdr:nvGraphicFramePr>
        <xdr:cNvPr id="16" name="Chart 15">
          <a:extLst>
            <a:ext uri="{FF2B5EF4-FFF2-40B4-BE49-F238E27FC236}">
              <a16:creationId xmlns:a16="http://schemas.microsoft.com/office/drawing/2014/main" id="{0383FD84-C868-410D-B732-010C3F513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40822</xdr:colOff>
      <xdr:row>18</xdr:row>
      <xdr:rowOff>167065</xdr:rowOff>
    </xdr:from>
    <xdr:to>
      <xdr:col>18</xdr:col>
      <xdr:colOff>269419</xdr:colOff>
      <xdr:row>28</xdr:row>
      <xdr:rowOff>0</xdr:rowOff>
    </xdr:to>
    <xdr:graphicFrame macro="">
      <xdr:nvGraphicFramePr>
        <xdr:cNvPr id="15" name="Chart 14">
          <a:extLst>
            <a:ext uri="{FF2B5EF4-FFF2-40B4-BE49-F238E27FC236}">
              <a16:creationId xmlns:a16="http://schemas.microsoft.com/office/drawing/2014/main" id="{B082D106-EDF4-407F-9652-86463706B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128511</xdr:colOff>
      <xdr:row>7</xdr:row>
      <xdr:rowOff>163287</xdr:rowOff>
    </xdr:from>
    <xdr:to>
      <xdr:col>15</xdr:col>
      <xdr:colOff>476250</xdr:colOff>
      <xdr:row>13</xdr:row>
      <xdr:rowOff>27215</xdr:rowOff>
    </xdr:to>
    <xdr:sp macro="" textlink="">
      <xdr:nvSpPr>
        <xdr:cNvPr id="3" name="Rectangle 2">
          <a:extLst>
            <a:ext uri="{FF2B5EF4-FFF2-40B4-BE49-F238E27FC236}">
              <a16:creationId xmlns:a16="http://schemas.microsoft.com/office/drawing/2014/main" id="{84F1B385-8468-4A26-A063-4A5A365CC267}"/>
            </a:ext>
          </a:extLst>
        </xdr:cNvPr>
        <xdr:cNvSpPr/>
      </xdr:nvSpPr>
      <xdr:spPr>
        <a:xfrm>
          <a:off x="2577797" y="1496787"/>
          <a:ext cx="7083274" cy="1006928"/>
        </a:xfrm>
        <a:prstGeom prst="rect">
          <a:avLst/>
        </a:prstGeom>
        <a:solidFill>
          <a:srgbClr val="1D4734"/>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74082</xdr:colOff>
      <xdr:row>28</xdr:row>
      <xdr:rowOff>100543</xdr:rowOff>
    </xdr:from>
    <xdr:to>
      <xdr:col>8</xdr:col>
      <xdr:colOff>408215</xdr:colOff>
      <xdr:row>37</xdr:row>
      <xdr:rowOff>176893</xdr:rowOff>
    </xdr:to>
    <xdr:graphicFrame macro="">
      <xdr:nvGraphicFramePr>
        <xdr:cNvPr id="19" name="Chart 18">
          <a:extLst>
            <a:ext uri="{FF2B5EF4-FFF2-40B4-BE49-F238E27FC236}">
              <a16:creationId xmlns:a16="http://schemas.microsoft.com/office/drawing/2014/main" id="{5582B085-1725-4243-9E73-925C6863A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92223</xdr:colOff>
      <xdr:row>28</xdr:row>
      <xdr:rowOff>114150</xdr:rowOff>
    </xdr:from>
    <xdr:to>
      <xdr:col>18</xdr:col>
      <xdr:colOff>272143</xdr:colOff>
      <xdr:row>38</xdr:row>
      <xdr:rowOff>0</xdr:rowOff>
    </xdr:to>
    <xdr:graphicFrame macro="">
      <xdr:nvGraphicFramePr>
        <xdr:cNvPr id="20" name="Chart 19">
          <a:extLst>
            <a:ext uri="{FF2B5EF4-FFF2-40B4-BE49-F238E27FC236}">
              <a16:creationId xmlns:a16="http://schemas.microsoft.com/office/drawing/2014/main" id="{367102C6-1401-45E3-AE8A-E632D53C2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473225</xdr:colOff>
      <xdr:row>28</xdr:row>
      <xdr:rowOff>100541</xdr:rowOff>
    </xdr:from>
    <xdr:to>
      <xdr:col>13</xdr:col>
      <xdr:colOff>2418</xdr:colOff>
      <xdr:row>38</xdr:row>
      <xdr:rowOff>0</xdr:rowOff>
    </xdr:to>
    <xdr:graphicFrame macro="">
      <xdr:nvGraphicFramePr>
        <xdr:cNvPr id="21" name="Chart 20">
          <a:extLst>
            <a:ext uri="{FF2B5EF4-FFF2-40B4-BE49-F238E27FC236}">
              <a16:creationId xmlns:a16="http://schemas.microsoft.com/office/drawing/2014/main" id="{B4DEFE64-1546-48F8-9C7F-CBFAA75EB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550333</xdr:colOff>
      <xdr:row>8</xdr:row>
      <xdr:rowOff>9525</xdr:rowOff>
    </xdr:from>
    <xdr:to>
      <xdr:col>11</xdr:col>
      <xdr:colOff>244928</xdr:colOff>
      <xdr:row>12</xdr:row>
      <xdr:rowOff>163134</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8BE299DD-4D04-4738-A115-FDC1E65D77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169833" y="1563310"/>
              <a:ext cx="2710845" cy="885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291796</xdr:colOff>
      <xdr:row>8</xdr:row>
      <xdr:rowOff>12097</xdr:rowOff>
    </xdr:from>
    <xdr:to>
      <xdr:col>15</xdr:col>
      <xdr:colOff>462642</xdr:colOff>
      <xdr:row>13</xdr:row>
      <xdr:rowOff>12097</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CBBA5F4C-9920-4B58-B58C-2BC05AC357D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927546" y="1536097"/>
              <a:ext cx="2583846"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170088</xdr:colOff>
      <xdr:row>8</xdr:row>
      <xdr:rowOff>27214</xdr:rowOff>
    </xdr:from>
    <xdr:to>
      <xdr:col>6</xdr:col>
      <xdr:colOff>508000</xdr:colOff>
      <xdr:row>12</xdr:row>
      <xdr:rowOff>176893</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24D087DD-F98A-4951-A64B-794804342C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08488" y="1551214"/>
              <a:ext cx="1557112" cy="911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598714</xdr:colOff>
      <xdr:row>13</xdr:row>
      <xdr:rowOff>163286</xdr:rowOff>
    </xdr:from>
    <xdr:to>
      <xdr:col>7</xdr:col>
      <xdr:colOff>272142</xdr:colOff>
      <xdr:row>16</xdr:row>
      <xdr:rowOff>81643</xdr:rowOff>
    </xdr:to>
    <xdr:sp macro="" textlink="">
      <xdr:nvSpPr>
        <xdr:cNvPr id="14" name="TextBox 13">
          <a:extLst>
            <a:ext uri="{FF2B5EF4-FFF2-40B4-BE49-F238E27FC236}">
              <a16:creationId xmlns:a16="http://schemas.microsoft.com/office/drawing/2014/main" id="{A961D9EC-5BA1-47CB-95A3-1D88DE5521B6}"/>
            </a:ext>
          </a:extLst>
        </xdr:cNvPr>
        <xdr:cNvSpPr txBox="1"/>
      </xdr:nvSpPr>
      <xdr:spPr>
        <a:xfrm>
          <a:off x="3048000" y="2639786"/>
          <a:ext cx="151039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TOTAL SALES</a:t>
          </a:r>
        </a:p>
      </xdr:txBody>
    </xdr:sp>
    <xdr:clientData/>
  </xdr:twoCellAnchor>
  <xdr:twoCellAnchor editAs="oneCell">
    <xdr:from>
      <xdr:col>7</xdr:col>
      <xdr:colOff>585107</xdr:colOff>
      <xdr:row>14</xdr:row>
      <xdr:rowOff>27214</xdr:rowOff>
    </xdr:from>
    <xdr:to>
      <xdr:col>8</xdr:col>
      <xdr:colOff>476250</xdr:colOff>
      <xdr:row>16</xdr:row>
      <xdr:rowOff>176893</xdr:rowOff>
    </xdr:to>
    <xdr:pic>
      <xdr:nvPicPr>
        <xdr:cNvPr id="26" name="Picture 25" descr="Trend">
          <a:extLst>
            <a:ext uri="{FF2B5EF4-FFF2-40B4-BE49-F238E27FC236}">
              <a16:creationId xmlns:a16="http://schemas.microsoft.com/office/drawing/2014/main" id="{5F94501C-9B7E-434B-BD8B-5CA99CFB373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871357" y="2694214"/>
          <a:ext cx="503464" cy="530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517072</xdr:colOff>
      <xdr:row>13</xdr:row>
      <xdr:rowOff>136072</xdr:rowOff>
    </xdr:from>
    <xdr:to>
      <xdr:col>10</xdr:col>
      <xdr:colOff>503465</xdr:colOff>
      <xdr:row>16</xdr:row>
      <xdr:rowOff>40822</xdr:rowOff>
    </xdr:to>
    <xdr:sp macro="" textlink="">
      <xdr:nvSpPr>
        <xdr:cNvPr id="27" name="TextBox 26">
          <a:extLst>
            <a:ext uri="{FF2B5EF4-FFF2-40B4-BE49-F238E27FC236}">
              <a16:creationId xmlns:a16="http://schemas.microsoft.com/office/drawing/2014/main" id="{6C7CDCD5-FE83-426A-951E-86DCFAA2376D}"/>
            </a:ext>
          </a:extLst>
        </xdr:cNvPr>
        <xdr:cNvSpPr txBox="1"/>
      </xdr:nvSpPr>
      <xdr:spPr>
        <a:xfrm>
          <a:off x="5415643" y="2612572"/>
          <a:ext cx="121103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PROFIT</a:t>
          </a:r>
        </a:p>
      </xdr:txBody>
    </xdr:sp>
    <xdr:clientData/>
  </xdr:twoCellAnchor>
  <xdr:twoCellAnchor>
    <xdr:from>
      <xdr:col>12</xdr:col>
      <xdr:colOff>244930</xdr:colOff>
      <xdr:row>14</xdr:row>
      <xdr:rowOff>1</xdr:rowOff>
    </xdr:from>
    <xdr:to>
      <xdr:col>14</xdr:col>
      <xdr:colOff>326571</xdr:colOff>
      <xdr:row>15</xdr:row>
      <xdr:rowOff>163287</xdr:rowOff>
    </xdr:to>
    <xdr:sp macro="" textlink="">
      <xdr:nvSpPr>
        <xdr:cNvPr id="30" name="TextBox 29">
          <a:extLst>
            <a:ext uri="{FF2B5EF4-FFF2-40B4-BE49-F238E27FC236}">
              <a16:creationId xmlns:a16="http://schemas.microsoft.com/office/drawing/2014/main" id="{43903710-DBEF-4D7A-9DF8-F0A1F761D312}"/>
            </a:ext>
          </a:extLst>
        </xdr:cNvPr>
        <xdr:cNvSpPr txBox="1"/>
      </xdr:nvSpPr>
      <xdr:spPr>
        <a:xfrm>
          <a:off x="7592787" y="2667001"/>
          <a:ext cx="1306284"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ORDERS</a:t>
          </a:r>
          <a:endParaRPr lang="en-IN" sz="1200" b="1">
            <a:solidFill>
              <a:schemeClr val="bg1"/>
            </a:solidFill>
          </a:endParaRPr>
        </a:p>
      </xdr:txBody>
    </xdr:sp>
    <xdr:clientData/>
  </xdr:twoCellAnchor>
  <xdr:twoCellAnchor>
    <xdr:from>
      <xdr:col>4</xdr:col>
      <xdr:colOff>136069</xdr:colOff>
      <xdr:row>14</xdr:row>
      <xdr:rowOff>40821</xdr:rowOff>
    </xdr:from>
    <xdr:to>
      <xdr:col>5</xdr:col>
      <xdr:colOff>95249</xdr:colOff>
      <xdr:row>17</xdr:row>
      <xdr:rowOff>40821</xdr:rowOff>
    </xdr:to>
    <xdr:sp macro="" textlink="">
      <xdr:nvSpPr>
        <xdr:cNvPr id="33" name="Flowchart: Connector 32">
          <a:extLst>
            <a:ext uri="{FF2B5EF4-FFF2-40B4-BE49-F238E27FC236}">
              <a16:creationId xmlns:a16="http://schemas.microsoft.com/office/drawing/2014/main" id="{A0F04D9C-9532-4727-AC64-CD63DADCB628}"/>
            </a:ext>
          </a:extLst>
        </xdr:cNvPr>
        <xdr:cNvSpPr/>
      </xdr:nvSpPr>
      <xdr:spPr>
        <a:xfrm>
          <a:off x="2585355" y="2707821"/>
          <a:ext cx="571501" cy="571500"/>
        </a:xfrm>
        <a:prstGeom prst="flowChartConnector">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557894</xdr:colOff>
      <xdr:row>14</xdr:row>
      <xdr:rowOff>27215</xdr:rowOff>
    </xdr:from>
    <xdr:to>
      <xdr:col>15</xdr:col>
      <xdr:colOff>503465</xdr:colOff>
      <xdr:row>17</xdr:row>
      <xdr:rowOff>1</xdr:rowOff>
    </xdr:to>
    <xdr:pic>
      <xdr:nvPicPr>
        <xdr:cNvPr id="32" name="Picture 31" descr="Package">
          <a:extLst>
            <a:ext uri="{FF2B5EF4-FFF2-40B4-BE49-F238E27FC236}">
              <a16:creationId xmlns:a16="http://schemas.microsoft.com/office/drawing/2014/main" id="{2332E62A-1186-41F1-A37B-896E3128F3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130394" y="2694215"/>
          <a:ext cx="557892" cy="544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13606</xdr:colOff>
      <xdr:row>13</xdr:row>
      <xdr:rowOff>163286</xdr:rowOff>
    </xdr:from>
    <xdr:to>
      <xdr:col>18</xdr:col>
      <xdr:colOff>163284</xdr:colOff>
      <xdr:row>16</xdr:row>
      <xdr:rowOff>54429</xdr:rowOff>
    </xdr:to>
    <xdr:sp macro="" textlink="">
      <xdr:nvSpPr>
        <xdr:cNvPr id="34" name="TextBox 33">
          <a:extLst>
            <a:ext uri="{FF2B5EF4-FFF2-40B4-BE49-F238E27FC236}">
              <a16:creationId xmlns:a16="http://schemas.microsoft.com/office/drawing/2014/main" id="{2A77ED75-1D95-4F6C-9FC9-F4A2B01F5060}"/>
            </a:ext>
          </a:extLst>
        </xdr:cNvPr>
        <xdr:cNvSpPr txBox="1"/>
      </xdr:nvSpPr>
      <xdr:spPr>
        <a:xfrm>
          <a:off x="9810749" y="2639786"/>
          <a:ext cx="1374321"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QUANTITY</a:t>
          </a:r>
          <a:endParaRPr lang="en-IN" sz="1200" b="1">
            <a:solidFill>
              <a:schemeClr val="bg1"/>
            </a:solidFill>
          </a:endParaRPr>
        </a:p>
      </xdr:txBody>
    </xdr:sp>
    <xdr:clientData/>
  </xdr:twoCellAnchor>
  <xdr:twoCellAnchor editAs="oneCell">
    <xdr:from>
      <xdr:col>4</xdr:col>
      <xdr:colOff>244928</xdr:colOff>
      <xdr:row>14</xdr:row>
      <xdr:rowOff>68036</xdr:rowOff>
    </xdr:from>
    <xdr:to>
      <xdr:col>5</xdr:col>
      <xdr:colOff>27214</xdr:colOff>
      <xdr:row>17</xdr:row>
      <xdr:rowOff>0</xdr:rowOff>
    </xdr:to>
    <xdr:pic>
      <xdr:nvPicPr>
        <xdr:cNvPr id="36" name="Graphic 35" descr="Coins with solid fill">
          <a:extLst>
            <a:ext uri="{FF2B5EF4-FFF2-40B4-BE49-F238E27FC236}">
              <a16:creationId xmlns:a16="http://schemas.microsoft.com/office/drawing/2014/main" id="{1350C98D-02C9-491B-BD92-A1BC695DB18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694214" y="2735036"/>
          <a:ext cx="394607" cy="503464"/>
        </a:xfrm>
        <a:prstGeom prst="rect">
          <a:avLst/>
        </a:prstGeom>
      </xdr:spPr>
    </xdr:pic>
    <xdr:clientData/>
  </xdr:twoCellAnchor>
  <xdr:twoCellAnchor>
    <xdr:from>
      <xdr:col>11</xdr:col>
      <xdr:colOff>340178</xdr:colOff>
      <xdr:row>14</xdr:row>
      <xdr:rowOff>0</xdr:rowOff>
    </xdr:from>
    <xdr:to>
      <xdr:col>12</xdr:col>
      <xdr:colOff>285751</xdr:colOff>
      <xdr:row>17</xdr:row>
      <xdr:rowOff>27214</xdr:rowOff>
    </xdr:to>
    <xdr:sp macro="" textlink="">
      <xdr:nvSpPr>
        <xdr:cNvPr id="37" name="Flowchart: Connector 36">
          <a:extLst>
            <a:ext uri="{FF2B5EF4-FFF2-40B4-BE49-F238E27FC236}">
              <a16:creationId xmlns:a16="http://schemas.microsoft.com/office/drawing/2014/main" id="{34FF371B-07A9-474C-B909-BD2E6E96640A}"/>
            </a:ext>
          </a:extLst>
        </xdr:cNvPr>
        <xdr:cNvSpPr/>
      </xdr:nvSpPr>
      <xdr:spPr>
        <a:xfrm>
          <a:off x="7075714" y="2667000"/>
          <a:ext cx="557894" cy="598714"/>
        </a:xfrm>
        <a:prstGeom prst="flowChartConnector">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340178</xdr:colOff>
      <xdr:row>14</xdr:row>
      <xdr:rowOff>81642</xdr:rowOff>
    </xdr:from>
    <xdr:to>
      <xdr:col>12</xdr:col>
      <xdr:colOff>272142</xdr:colOff>
      <xdr:row>16</xdr:row>
      <xdr:rowOff>136071</xdr:rowOff>
    </xdr:to>
    <xdr:pic>
      <xdr:nvPicPr>
        <xdr:cNvPr id="39" name="Graphic 38" descr="Shopping cart with solid fill">
          <a:extLst>
            <a:ext uri="{FF2B5EF4-FFF2-40B4-BE49-F238E27FC236}">
              <a16:creationId xmlns:a16="http://schemas.microsoft.com/office/drawing/2014/main" id="{EBE0C11E-BC8D-413D-8E61-ED9D4E2B07A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075714" y="2748642"/>
          <a:ext cx="544285" cy="435429"/>
        </a:xfrm>
        <a:prstGeom prst="rect">
          <a:avLst/>
        </a:prstGeom>
      </xdr:spPr>
    </xdr:pic>
    <xdr:clientData/>
  </xdr:twoCellAnchor>
  <xdr:twoCellAnchor>
    <xdr:from>
      <xdr:col>5</xdr:col>
      <xdr:colOff>264583</xdr:colOff>
      <xdr:row>15</xdr:row>
      <xdr:rowOff>105833</xdr:rowOff>
    </xdr:from>
    <xdr:to>
      <xdr:col>7</xdr:col>
      <xdr:colOff>243417</xdr:colOff>
      <xdr:row>17</xdr:row>
      <xdr:rowOff>148167</xdr:rowOff>
    </xdr:to>
    <xdr:sp macro="" textlink="ANALYSIS!I14">
      <xdr:nvSpPr>
        <xdr:cNvPr id="40" name="TextBox 39">
          <a:extLst>
            <a:ext uri="{FF2B5EF4-FFF2-40B4-BE49-F238E27FC236}">
              <a16:creationId xmlns:a16="http://schemas.microsoft.com/office/drawing/2014/main" id="{9AC417E3-3CB4-4CFE-9BE9-CB31027689EC}"/>
            </a:ext>
          </a:extLst>
        </xdr:cNvPr>
        <xdr:cNvSpPr txBox="1"/>
      </xdr:nvSpPr>
      <xdr:spPr>
        <a:xfrm>
          <a:off x="3333750" y="2963333"/>
          <a:ext cx="120650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24A5C4-845D-42AB-8DCF-EB51257D2A63}" type="TxLink">
            <a:rPr lang="en-US" sz="1400" b="1" i="0" u="none" strike="noStrike">
              <a:solidFill>
                <a:schemeClr val="accent3">
                  <a:lumMod val="40000"/>
                  <a:lumOff val="60000"/>
                </a:schemeClr>
              </a:solidFill>
              <a:latin typeface="Calibri"/>
              <a:cs typeface="Calibri"/>
            </a:rPr>
            <a:pPr/>
            <a:t>26,29,365</a:t>
          </a:fld>
          <a:endParaRPr lang="en-IN" sz="1400" b="1">
            <a:solidFill>
              <a:schemeClr val="accent3">
                <a:lumMod val="40000"/>
                <a:lumOff val="60000"/>
              </a:schemeClr>
            </a:solidFill>
          </a:endParaRPr>
        </a:p>
      </xdr:txBody>
    </xdr:sp>
    <xdr:clientData/>
  </xdr:twoCellAnchor>
  <xdr:twoCellAnchor>
    <xdr:from>
      <xdr:col>9</xdr:col>
      <xdr:colOff>63498</xdr:colOff>
      <xdr:row>15</xdr:row>
      <xdr:rowOff>74083</xdr:rowOff>
    </xdr:from>
    <xdr:to>
      <xdr:col>11</xdr:col>
      <xdr:colOff>63498</xdr:colOff>
      <xdr:row>17</xdr:row>
      <xdr:rowOff>63500</xdr:rowOff>
    </xdr:to>
    <xdr:sp macro="" textlink="ANALYSIS!I18">
      <xdr:nvSpPr>
        <xdr:cNvPr id="41" name="TextBox 40">
          <a:extLst>
            <a:ext uri="{FF2B5EF4-FFF2-40B4-BE49-F238E27FC236}">
              <a16:creationId xmlns:a16="http://schemas.microsoft.com/office/drawing/2014/main" id="{34D8543E-DDEB-4190-84BB-F9793460523D}"/>
            </a:ext>
          </a:extLst>
        </xdr:cNvPr>
        <xdr:cNvSpPr txBox="1"/>
      </xdr:nvSpPr>
      <xdr:spPr>
        <a:xfrm>
          <a:off x="5587998" y="2931583"/>
          <a:ext cx="122766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36E9B7-2628-43D3-8194-4FF392D15930}" type="TxLink">
            <a:rPr lang="en-US" sz="1400" b="1" i="0" u="none" strike="noStrike">
              <a:solidFill>
                <a:schemeClr val="accent3">
                  <a:lumMod val="40000"/>
                  <a:lumOff val="60000"/>
                </a:schemeClr>
              </a:solidFill>
              <a:latin typeface="Calibri"/>
              <a:cs typeface="Calibri"/>
            </a:rPr>
            <a:pPr/>
            <a:t>7,80,004</a:t>
          </a:fld>
          <a:endParaRPr lang="en-IN" sz="1400" b="1">
            <a:solidFill>
              <a:schemeClr val="accent3">
                <a:lumMod val="40000"/>
                <a:lumOff val="60000"/>
              </a:schemeClr>
            </a:solidFill>
          </a:endParaRPr>
        </a:p>
      </xdr:txBody>
    </xdr:sp>
    <xdr:clientData/>
  </xdr:twoCellAnchor>
  <xdr:twoCellAnchor>
    <xdr:from>
      <xdr:col>12</xdr:col>
      <xdr:colOff>444500</xdr:colOff>
      <xdr:row>15</xdr:row>
      <xdr:rowOff>116417</xdr:rowOff>
    </xdr:from>
    <xdr:to>
      <xdr:col>14</xdr:col>
      <xdr:colOff>296333</xdr:colOff>
      <xdr:row>17</xdr:row>
      <xdr:rowOff>105833</xdr:rowOff>
    </xdr:to>
    <xdr:sp macro="" textlink="ANALYSIS!I22">
      <xdr:nvSpPr>
        <xdr:cNvPr id="42" name="TextBox 41">
          <a:extLst>
            <a:ext uri="{FF2B5EF4-FFF2-40B4-BE49-F238E27FC236}">
              <a16:creationId xmlns:a16="http://schemas.microsoft.com/office/drawing/2014/main" id="{6C20E1AA-4383-4377-8EA3-EE6A460706D3}"/>
            </a:ext>
          </a:extLst>
        </xdr:cNvPr>
        <xdr:cNvSpPr txBox="1"/>
      </xdr:nvSpPr>
      <xdr:spPr>
        <a:xfrm>
          <a:off x="7810500" y="2973917"/>
          <a:ext cx="1079500"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8017C4-7E66-4BEB-8AFF-BE6AE4A822F3}" type="TxLink">
            <a:rPr lang="en-US" sz="1400" b="1" i="0" u="none" strike="noStrike">
              <a:solidFill>
                <a:schemeClr val="accent3">
                  <a:lumMod val="40000"/>
                  <a:lumOff val="60000"/>
                </a:schemeClr>
              </a:solidFill>
              <a:latin typeface="Calibri"/>
              <a:cs typeface="Calibri"/>
            </a:rPr>
            <a:pPr/>
            <a:t>80</a:t>
          </a:fld>
          <a:endParaRPr lang="en-IN" sz="1400" b="1">
            <a:solidFill>
              <a:schemeClr val="accent3">
                <a:lumMod val="40000"/>
                <a:lumOff val="60000"/>
              </a:schemeClr>
            </a:solidFill>
          </a:endParaRPr>
        </a:p>
      </xdr:txBody>
    </xdr:sp>
    <xdr:clientData/>
  </xdr:twoCellAnchor>
  <xdr:twoCellAnchor>
    <xdr:from>
      <xdr:col>16</xdr:col>
      <xdr:colOff>169334</xdr:colOff>
      <xdr:row>15</xdr:row>
      <xdr:rowOff>63500</xdr:rowOff>
    </xdr:from>
    <xdr:to>
      <xdr:col>17</xdr:col>
      <xdr:colOff>571500</xdr:colOff>
      <xdr:row>17</xdr:row>
      <xdr:rowOff>74083</xdr:rowOff>
    </xdr:to>
    <xdr:sp macro="" textlink="ANALYSIS!I25">
      <xdr:nvSpPr>
        <xdr:cNvPr id="43" name="TextBox 42">
          <a:extLst>
            <a:ext uri="{FF2B5EF4-FFF2-40B4-BE49-F238E27FC236}">
              <a16:creationId xmlns:a16="http://schemas.microsoft.com/office/drawing/2014/main" id="{1728D9C5-7C8F-4F0E-9AF9-4F593A11658E}"/>
            </a:ext>
          </a:extLst>
        </xdr:cNvPr>
        <xdr:cNvSpPr txBox="1"/>
      </xdr:nvSpPr>
      <xdr:spPr>
        <a:xfrm>
          <a:off x="9990667" y="2921000"/>
          <a:ext cx="1016000"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6F5ED6-160F-47F2-B444-665BC576BBAE}" type="TxLink">
            <a:rPr lang="en-US" sz="1400" b="1" i="0" u="none" strike="noStrike">
              <a:solidFill>
                <a:schemeClr val="accent3">
                  <a:lumMod val="40000"/>
                  <a:lumOff val="60000"/>
                </a:schemeClr>
              </a:solidFill>
              <a:latin typeface="Calibri"/>
              <a:cs typeface="Calibri"/>
            </a:rPr>
            <a:pPr/>
            <a:t>219</a:t>
          </a:fld>
          <a:endParaRPr lang="en-IN" sz="1400" b="1">
            <a:solidFill>
              <a:schemeClr val="accent3">
                <a:lumMod val="40000"/>
                <a:lumOff val="60000"/>
              </a:schemeClr>
            </a:solidFill>
          </a:endParaRPr>
        </a:p>
      </xdr:txBody>
    </xdr:sp>
    <xdr:clientData/>
  </xdr:twoCellAnchor>
  <xdr:twoCellAnchor>
    <xdr:from>
      <xdr:col>1</xdr:col>
      <xdr:colOff>396875</xdr:colOff>
      <xdr:row>18</xdr:row>
      <xdr:rowOff>111124</xdr:rowOff>
    </xdr:from>
    <xdr:to>
      <xdr:col>3</xdr:col>
      <xdr:colOff>285750</xdr:colOff>
      <xdr:row>21</xdr:row>
      <xdr:rowOff>63499</xdr:rowOff>
    </xdr:to>
    <xdr:sp macro="" textlink="">
      <xdr:nvSpPr>
        <xdr:cNvPr id="48" name="TextBox 47">
          <a:extLst>
            <a:ext uri="{FF2B5EF4-FFF2-40B4-BE49-F238E27FC236}">
              <a16:creationId xmlns:a16="http://schemas.microsoft.com/office/drawing/2014/main" id="{5598B663-DEE3-49AE-A801-B9D49137418C}"/>
            </a:ext>
          </a:extLst>
        </xdr:cNvPr>
        <xdr:cNvSpPr txBox="1"/>
      </xdr:nvSpPr>
      <xdr:spPr>
        <a:xfrm>
          <a:off x="1000125" y="3540124"/>
          <a:ext cx="10953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p>
      </xdr:txBody>
    </xdr:sp>
    <xdr:clientData/>
  </xdr:twoCellAnchor>
  <xdr:twoCellAnchor>
    <xdr:from>
      <xdr:col>1</xdr:col>
      <xdr:colOff>444500</xdr:colOff>
      <xdr:row>24</xdr:row>
      <xdr:rowOff>127001</xdr:rowOff>
    </xdr:from>
    <xdr:to>
      <xdr:col>3</xdr:col>
      <xdr:colOff>269875</xdr:colOff>
      <xdr:row>27</xdr:row>
      <xdr:rowOff>1</xdr:rowOff>
    </xdr:to>
    <xdr:sp macro="" textlink="">
      <xdr:nvSpPr>
        <xdr:cNvPr id="50" name="TextBox 49">
          <a:extLst>
            <a:ext uri="{FF2B5EF4-FFF2-40B4-BE49-F238E27FC236}">
              <a16:creationId xmlns:a16="http://schemas.microsoft.com/office/drawing/2014/main" id="{115715EB-AF44-48ED-B8F6-42261F57644A}"/>
            </a:ext>
          </a:extLst>
        </xdr:cNvPr>
        <xdr:cNvSpPr txBox="1"/>
      </xdr:nvSpPr>
      <xdr:spPr>
        <a:xfrm>
          <a:off x="1047750" y="4699001"/>
          <a:ext cx="1031875"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p>
      </xdr:txBody>
    </xdr:sp>
    <xdr:clientData/>
  </xdr:twoCellAnchor>
  <xdr:twoCellAnchor>
    <xdr:from>
      <xdr:col>1</xdr:col>
      <xdr:colOff>571500</xdr:colOff>
      <xdr:row>3</xdr:row>
      <xdr:rowOff>111126</xdr:rowOff>
    </xdr:from>
    <xdr:to>
      <xdr:col>3</xdr:col>
      <xdr:colOff>254000</xdr:colOff>
      <xdr:row>8</xdr:row>
      <xdr:rowOff>0</xdr:rowOff>
    </xdr:to>
    <xdr:sp macro="" textlink="">
      <xdr:nvSpPr>
        <xdr:cNvPr id="51" name="Flowchart: Connector 50">
          <a:extLst>
            <a:ext uri="{FF2B5EF4-FFF2-40B4-BE49-F238E27FC236}">
              <a16:creationId xmlns:a16="http://schemas.microsoft.com/office/drawing/2014/main" id="{EC6D3BA8-1308-4161-ACAF-FE4E32EC3E1D}"/>
            </a:ext>
          </a:extLst>
        </xdr:cNvPr>
        <xdr:cNvSpPr/>
      </xdr:nvSpPr>
      <xdr:spPr>
        <a:xfrm>
          <a:off x="1174750" y="682626"/>
          <a:ext cx="889000" cy="841374"/>
        </a:xfrm>
        <a:prstGeom prst="flowChartConnector">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95250</xdr:colOff>
      <xdr:row>4</xdr:row>
      <xdr:rowOff>47625</xdr:rowOff>
    </xdr:from>
    <xdr:to>
      <xdr:col>3</xdr:col>
      <xdr:colOff>79375</xdr:colOff>
      <xdr:row>7</xdr:row>
      <xdr:rowOff>79375</xdr:rowOff>
    </xdr:to>
    <xdr:pic>
      <xdr:nvPicPr>
        <xdr:cNvPr id="53" name="Graphic 52" descr="Statistics with solid fill">
          <a:extLst>
            <a:ext uri="{FF2B5EF4-FFF2-40B4-BE49-F238E27FC236}">
              <a16:creationId xmlns:a16="http://schemas.microsoft.com/office/drawing/2014/main" id="{A1BCCE9A-D328-45AA-8315-91E753324AC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01750" y="809625"/>
          <a:ext cx="587375" cy="603250"/>
        </a:xfrm>
        <a:prstGeom prst="rect">
          <a:avLst/>
        </a:prstGeom>
      </xdr:spPr>
    </xdr:pic>
    <xdr:clientData/>
  </xdr:twoCellAnchor>
  <xdr:twoCellAnchor>
    <xdr:from>
      <xdr:col>3</xdr:col>
      <xdr:colOff>539750</xdr:colOff>
      <xdr:row>2</xdr:row>
      <xdr:rowOff>31750</xdr:rowOff>
    </xdr:from>
    <xdr:to>
      <xdr:col>3</xdr:col>
      <xdr:colOff>571500</xdr:colOff>
      <xdr:row>38</xdr:row>
      <xdr:rowOff>142875</xdr:rowOff>
    </xdr:to>
    <xdr:cxnSp macro="">
      <xdr:nvCxnSpPr>
        <xdr:cNvPr id="17" name="Straight Connector 16">
          <a:extLst>
            <a:ext uri="{FF2B5EF4-FFF2-40B4-BE49-F238E27FC236}">
              <a16:creationId xmlns:a16="http://schemas.microsoft.com/office/drawing/2014/main" id="{0C05482E-670F-4761-892E-D7B974C253EE}"/>
            </a:ext>
          </a:extLst>
        </xdr:cNvPr>
        <xdr:cNvCxnSpPr/>
      </xdr:nvCxnSpPr>
      <xdr:spPr>
        <a:xfrm flipH="1">
          <a:off x="2349500" y="412750"/>
          <a:ext cx="31750" cy="7048500"/>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twoCellAnchor>
    <xdr:from>
      <xdr:col>1</xdr:col>
      <xdr:colOff>206376</xdr:colOff>
      <xdr:row>11</xdr:row>
      <xdr:rowOff>75595</xdr:rowOff>
    </xdr:from>
    <xdr:to>
      <xdr:col>3</xdr:col>
      <xdr:colOff>400051</xdr:colOff>
      <xdr:row>15</xdr:row>
      <xdr:rowOff>59720</xdr:rowOff>
    </xdr:to>
    <xdr:sp macro="" textlink="">
      <xdr:nvSpPr>
        <xdr:cNvPr id="55" name="Flowchart: Alternate Process 54">
          <a:hlinkClick xmlns:r="http://schemas.openxmlformats.org/officeDocument/2006/relationships" r:id="rId16"/>
          <a:extLst>
            <a:ext uri="{FF2B5EF4-FFF2-40B4-BE49-F238E27FC236}">
              <a16:creationId xmlns:a16="http://schemas.microsoft.com/office/drawing/2014/main" id="{6BF328BF-7AEA-41E0-9FE8-3B7BBEBE3880}"/>
            </a:ext>
          </a:extLst>
        </xdr:cNvPr>
        <xdr:cNvSpPr/>
      </xdr:nvSpPr>
      <xdr:spPr>
        <a:xfrm>
          <a:off x="809626" y="2171095"/>
          <a:ext cx="1400175" cy="746125"/>
        </a:xfrm>
        <a:prstGeom prst="flowChartAlternateProcess">
          <a:avLst/>
        </a:prstGeom>
        <a:solidFill>
          <a:srgbClr val="339966"/>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333376</xdr:colOff>
      <xdr:row>12</xdr:row>
      <xdr:rowOff>27970</xdr:rowOff>
    </xdr:from>
    <xdr:to>
      <xdr:col>3</xdr:col>
      <xdr:colOff>297409</xdr:colOff>
      <xdr:row>14</xdr:row>
      <xdr:rowOff>73727</xdr:rowOff>
    </xdr:to>
    <xdr:pic>
      <xdr:nvPicPr>
        <xdr:cNvPr id="22" name="Picture 21">
          <a:extLst>
            <a:ext uri="{FF2B5EF4-FFF2-40B4-BE49-F238E27FC236}">
              <a16:creationId xmlns:a16="http://schemas.microsoft.com/office/drawing/2014/main" id="{E6A90737-FAA1-450F-A940-ECC98B208E5C}"/>
            </a:ext>
          </a:extLst>
        </xdr:cNvPr>
        <xdr:cNvPicPr>
          <a:picLocks noChangeAspect="1"/>
        </xdr:cNvPicPr>
      </xdr:nvPicPr>
      <xdr:blipFill>
        <a:blip xmlns:r="http://schemas.openxmlformats.org/officeDocument/2006/relationships" r:embed="rId17"/>
        <a:stretch>
          <a:fillRect/>
        </a:stretch>
      </xdr:blipFill>
      <xdr:spPr>
        <a:xfrm>
          <a:off x="936626" y="2313970"/>
          <a:ext cx="1170533" cy="426757"/>
        </a:xfrm>
        <a:prstGeom prst="rect">
          <a:avLst/>
        </a:prstGeom>
      </xdr:spPr>
    </xdr:pic>
    <xdr:clientData/>
  </xdr:twoCellAnchor>
  <xdr:twoCellAnchor>
    <xdr:from>
      <xdr:col>1</xdr:col>
      <xdr:colOff>190500</xdr:colOff>
      <xdr:row>16</xdr:row>
      <xdr:rowOff>63499</xdr:rowOff>
    </xdr:from>
    <xdr:to>
      <xdr:col>3</xdr:col>
      <xdr:colOff>371476</xdr:colOff>
      <xdr:row>20</xdr:row>
      <xdr:rowOff>79374</xdr:rowOff>
    </xdr:to>
    <xdr:sp macro="" textlink="">
      <xdr:nvSpPr>
        <xdr:cNvPr id="56" name="Rectangle: Rounded Corners 55">
          <a:hlinkClick xmlns:r="http://schemas.openxmlformats.org/officeDocument/2006/relationships" r:id="rId18"/>
          <a:extLst>
            <a:ext uri="{FF2B5EF4-FFF2-40B4-BE49-F238E27FC236}">
              <a16:creationId xmlns:a16="http://schemas.microsoft.com/office/drawing/2014/main" id="{E7D7DA92-B6FC-4D77-AF10-8EB8C0F1277C}"/>
            </a:ext>
          </a:extLst>
        </xdr:cNvPr>
        <xdr:cNvSpPr/>
      </xdr:nvSpPr>
      <xdr:spPr>
        <a:xfrm>
          <a:off x="793750" y="3111499"/>
          <a:ext cx="1387476" cy="777875"/>
        </a:xfrm>
        <a:prstGeom prst="roundRect">
          <a:avLst/>
        </a:prstGeom>
        <a:solidFill>
          <a:srgbClr val="339966"/>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190500</xdr:colOff>
      <xdr:row>21</xdr:row>
      <xdr:rowOff>79376</xdr:rowOff>
    </xdr:from>
    <xdr:to>
      <xdr:col>3</xdr:col>
      <xdr:colOff>365125</xdr:colOff>
      <xdr:row>25</xdr:row>
      <xdr:rowOff>79376</xdr:rowOff>
    </xdr:to>
    <xdr:sp macro="" textlink="">
      <xdr:nvSpPr>
        <xdr:cNvPr id="28" name="Rectangle: Rounded Corners 27">
          <a:hlinkClick xmlns:r="http://schemas.openxmlformats.org/officeDocument/2006/relationships" r:id="rId19"/>
          <a:extLst>
            <a:ext uri="{FF2B5EF4-FFF2-40B4-BE49-F238E27FC236}">
              <a16:creationId xmlns:a16="http://schemas.microsoft.com/office/drawing/2014/main" id="{8A083C03-1985-4BF3-BB7A-0F65F4FD5E91}"/>
            </a:ext>
          </a:extLst>
        </xdr:cNvPr>
        <xdr:cNvSpPr/>
      </xdr:nvSpPr>
      <xdr:spPr>
        <a:xfrm>
          <a:off x="793750" y="4079876"/>
          <a:ext cx="1381125" cy="762000"/>
        </a:xfrm>
        <a:prstGeom prst="roundRect">
          <a:avLst/>
        </a:prstGeom>
        <a:solidFill>
          <a:srgbClr val="339966"/>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349250</xdr:colOff>
      <xdr:row>22</xdr:row>
      <xdr:rowOff>15875</xdr:rowOff>
    </xdr:from>
    <xdr:to>
      <xdr:col>3</xdr:col>
      <xdr:colOff>111125</xdr:colOff>
      <xdr:row>24</xdr:row>
      <xdr:rowOff>142875</xdr:rowOff>
    </xdr:to>
    <xdr:sp macro="" textlink="">
      <xdr:nvSpPr>
        <xdr:cNvPr id="29" name="TextBox 28">
          <a:hlinkClick xmlns:r="http://schemas.openxmlformats.org/officeDocument/2006/relationships" r:id="rId19"/>
          <a:extLst>
            <a:ext uri="{FF2B5EF4-FFF2-40B4-BE49-F238E27FC236}">
              <a16:creationId xmlns:a16="http://schemas.microsoft.com/office/drawing/2014/main" id="{5EBE30FA-6679-4A71-9C88-C505D9578CA8}"/>
            </a:ext>
          </a:extLst>
        </xdr:cNvPr>
        <xdr:cNvSpPr txBox="1"/>
      </xdr:nvSpPr>
      <xdr:spPr>
        <a:xfrm>
          <a:off x="952500" y="4206875"/>
          <a:ext cx="96837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DATA</a:t>
          </a:r>
        </a:p>
      </xdr:txBody>
    </xdr:sp>
    <xdr:clientData/>
  </xdr:twoCellAnchor>
  <xdr:twoCellAnchor>
    <xdr:from>
      <xdr:col>1</xdr:col>
      <xdr:colOff>349249</xdr:colOff>
      <xdr:row>32</xdr:row>
      <xdr:rowOff>158750</xdr:rowOff>
    </xdr:from>
    <xdr:to>
      <xdr:col>3</xdr:col>
      <xdr:colOff>428624</xdr:colOff>
      <xdr:row>36</xdr:row>
      <xdr:rowOff>158750</xdr:rowOff>
    </xdr:to>
    <xdr:sp macro="" textlink="">
      <xdr:nvSpPr>
        <xdr:cNvPr id="31" name="TextBox 30">
          <a:extLst>
            <a:ext uri="{FF2B5EF4-FFF2-40B4-BE49-F238E27FC236}">
              <a16:creationId xmlns:a16="http://schemas.microsoft.com/office/drawing/2014/main" id="{FFAF9559-A96C-4320-8491-7B1940263753}"/>
            </a:ext>
          </a:extLst>
        </xdr:cNvPr>
        <xdr:cNvSpPr txBox="1"/>
      </xdr:nvSpPr>
      <xdr:spPr>
        <a:xfrm>
          <a:off x="952499" y="6334125"/>
          <a:ext cx="12858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3">
                  <a:lumMod val="75000"/>
                </a:schemeClr>
              </a:solidFill>
              <a:latin typeface="Ink Free" panose="03080402000500000000" pitchFamily="66" charset="0"/>
            </a:rPr>
            <a:t>Better</a:t>
          </a:r>
          <a:r>
            <a:rPr lang="en-IN" sz="1200" b="1" baseline="0">
              <a:solidFill>
                <a:schemeClr val="accent3">
                  <a:lumMod val="75000"/>
                </a:schemeClr>
              </a:solidFill>
              <a:latin typeface="Ink Free" panose="03080402000500000000" pitchFamily="66" charset="0"/>
            </a:rPr>
            <a:t> Data</a:t>
          </a:r>
        </a:p>
        <a:p>
          <a:r>
            <a:rPr lang="en-IN" sz="1200" b="1" baseline="0">
              <a:solidFill>
                <a:schemeClr val="accent3">
                  <a:lumMod val="75000"/>
                </a:schemeClr>
              </a:solidFill>
              <a:latin typeface="Ink Free" panose="03080402000500000000" pitchFamily="66" charset="0"/>
            </a:rPr>
            <a:t>Better Decisions</a:t>
          </a:r>
        </a:p>
        <a:p>
          <a:r>
            <a:rPr lang="en-IN" sz="1200" b="1" baseline="0">
              <a:solidFill>
                <a:schemeClr val="accent3">
                  <a:lumMod val="75000"/>
                </a:schemeClr>
              </a:solidFill>
              <a:latin typeface="Ink Free" panose="03080402000500000000" pitchFamily="66" charset="0"/>
            </a:rPr>
            <a:t>Bigger Growth</a:t>
          </a:r>
          <a:endParaRPr lang="en-IN" sz="1200" b="1">
            <a:solidFill>
              <a:schemeClr val="accent3">
                <a:lumMod val="75000"/>
              </a:schemeClr>
            </a:solidFill>
            <a:latin typeface="Ink Free" panose="03080402000500000000" pitchFamily="66" charset="0"/>
          </a:endParaRPr>
        </a:p>
      </xdr:txBody>
    </xdr:sp>
    <xdr:clientData/>
  </xdr:twoCellAnchor>
  <xdr:twoCellAnchor editAs="oneCell">
    <xdr:from>
      <xdr:col>1</xdr:col>
      <xdr:colOff>222250</xdr:colOff>
      <xdr:row>16</xdr:row>
      <xdr:rowOff>174625</xdr:rowOff>
    </xdr:from>
    <xdr:to>
      <xdr:col>3</xdr:col>
      <xdr:colOff>228959</xdr:colOff>
      <xdr:row>19</xdr:row>
      <xdr:rowOff>47624</xdr:rowOff>
    </xdr:to>
    <xdr:pic>
      <xdr:nvPicPr>
        <xdr:cNvPr id="38" name="Picture 37">
          <a:extLst>
            <a:ext uri="{FF2B5EF4-FFF2-40B4-BE49-F238E27FC236}">
              <a16:creationId xmlns:a16="http://schemas.microsoft.com/office/drawing/2014/main" id="{0CD650CB-28FD-46C3-8789-EC402B2DA35B}"/>
            </a:ext>
          </a:extLst>
        </xdr:cNvPr>
        <xdr:cNvPicPr>
          <a:picLocks noChangeAspect="1"/>
        </xdr:cNvPicPr>
      </xdr:nvPicPr>
      <xdr:blipFill>
        <a:blip xmlns:r="http://schemas.openxmlformats.org/officeDocument/2006/relationships" r:embed="rId20"/>
        <a:stretch>
          <a:fillRect/>
        </a:stretch>
      </xdr:blipFill>
      <xdr:spPr>
        <a:xfrm>
          <a:off x="825500" y="3222625"/>
          <a:ext cx="1213209" cy="4444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82</xdr:row>
      <xdr:rowOff>0</xdr:rowOff>
    </xdr:from>
    <xdr:to>
      <xdr:col>1</xdr:col>
      <xdr:colOff>762000</xdr:colOff>
      <xdr:row>83</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E03BCC7-3D34-42D9-AF8A-ABA5C6CDA915}"/>
            </a:ext>
          </a:extLst>
        </xdr:cNvPr>
        <xdr:cNvSpPr/>
      </xdr:nvSpPr>
      <xdr:spPr>
        <a:xfrm>
          <a:off x="819150" y="15621000"/>
          <a:ext cx="6858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560025462961" createdVersion="7" refreshedVersion="7" minRefreshableVersion="3" recordCount="80" xr:uid="{AD587ED9-0DFF-4D21-95C8-823111263180}">
  <cacheSource type="worksheet">
    <worksheetSource ref="A1:P79" sheet="DATA"/>
  </cacheSource>
  <cacheFields count="16">
    <cacheField name="Order_ID" numFmtId="0">
      <sharedItems/>
    </cacheField>
    <cacheField name="Order_Date" numFmtId="164">
      <sharedItems containsSemiMixedTypes="0" containsNonDate="0" containsDate="1" containsString="0" minDate="2026-01-01T00:00:00" maxDate="2026-07-01T00:00:00"/>
    </cacheField>
    <cacheField name="Customer" numFmtId="0">
      <sharedItems/>
    </cacheField>
    <cacheField name="Product" numFmtId="0">
      <sharedItems count="6">
        <s v="Monitor"/>
        <s v="Headset"/>
        <s v="Keyboard"/>
        <s v="Mouse"/>
        <s v="Laptop"/>
        <s v="Mouse "/>
      </sharedItems>
    </cacheField>
    <cacheField name="Category" numFmtId="0">
      <sharedItems count="2">
        <s v="Electronics"/>
        <s v="Accessories"/>
      </sharedItems>
    </cacheField>
    <cacheField name="Region" numFmtId="0">
      <sharedItems count="7">
        <s v="North"/>
        <s v="South "/>
        <s v="East"/>
        <s v="West"/>
        <s v="South"/>
        <s v="Unknown"/>
        <s v=" South " u="1"/>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minValue="0" maxValue="15"/>
    </cacheField>
    <cacheField name="Payment_Mode" numFmtId="0">
      <sharedItems count="5">
        <s v="Cash"/>
        <s v="UPI"/>
        <s v="Net Banking"/>
        <s v="Card"/>
        <s v="Card "/>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ount="6">
        <s v="Jan"/>
        <s v="Feb"/>
        <s v="Mar"/>
        <s v="Apr"/>
        <s v="May"/>
        <s v="Jun"/>
      </sharedItems>
    </cacheField>
    <cacheField name="Month_No" numFmtId="0">
      <sharedItems containsSemiMixedTypes="0" containsString="0" containsNumber="1" containsInteger="1" minValue="1" maxValue="6"/>
    </cacheField>
    <cacheField name="Profit_Margin_%" numFmtId="1">
      <sharedItems containsSemiMixedTypes="0" containsString="0" containsNumber="1" minValue="18.747002398081534" maxValue="37.712131361225268"/>
    </cacheField>
  </cacheFields>
  <extLst>
    <ext xmlns:x14="http://schemas.microsoft.com/office/spreadsheetml/2009/9/main" uri="{725AE2AE-9491-48be-B2B4-4EB974FC3084}">
      <x14:pivotCacheDefinition pivotCacheId="957129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d v="2026-01-01T00:00:00"/>
    <s v="C1001"/>
    <x v="0"/>
    <x v="0"/>
    <x v="0"/>
    <n v="3"/>
    <n v="13962"/>
    <n v="0"/>
    <x v="0"/>
    <n v="41886"/>
    <n v="28238.14"/>
    <n v="13647.86"/>
    <x v="0"/>
    <n v="1"/>
    <n v="32.58334527049611"/>
  </r>
  <r>
    <s v="ORD10002"/>
    <d v="2026-01-03T06:41:01"/>
    <s v="C1002"/>
    <x v="1"/>
    <x v="1"/>
    <x v="0"/>
    <n v="1"/>
    <n v="3480"/>
    <n v="5"/>
    <x v="1"/>
    <n v="3306"/>
    <n v="2339.9699999999998"/>
    <n v="966.03"/>
    <x v="0"/>
    <n v="1"/>
    <n v="29.220508166969143"/>
  </r>
  <r>
    <s v="ORD10003"/>
    <d v="2026-01-05T13:22:02"/>
    <s v="C1003"/>
    <x v="2"/>
    <x v="1"/>
    <x v="0"/>
    <n v="2"/>
    <n v="2160"/>
    <n v="10"/>
    <x v="0"/>
    <n v="3888"/>
    <n v="2471.5700000000002"/>
    <n v="1416.43"/>
    <x v="0"/>
    <n v="1"/>
    <n v="36.43081275720165"/>
  </r>
  <r>
    <s v="ORD10004"/>
    <d v="2026-01-07T20:03:02"/>
    <s v="C1004"/>
    <x v="1"/>
    <x v="1"/>
    <x v="1"/>
    <n v="2"/>
    <n v="3379"/>
    <n v="5"/>
    <x v="0"/>
    <n v="6420.1"/>
    <n v="4013.01"/>
    <n v="2407.09"/>
    <x v="0"/>
    <n v="1"/>
    <n v="37.493029703587169"/>
  </r>
  <r>
    <s v="ORD10005"/>
    <d v="2026-01-10T02:44:03"/>
    <s v="C1005"/>
    <x v="1"/>
    <x v="1"/>
    <x v="0"/>
    <n v="4"/>
    <n v="3197"/>
    <n v="10"/>
    <x v="1"/>
    <n v="11509.2"/>
    <n v="9351.57"/>
    <n v="2157.63"/>
    <x v="0"/>
    <n v="1"/>
    <n v="18.747002398081534"/>
  </r>
  <r>
    <s v="ORD10006"/>
    <d v="2026-01-12T09:25:04"/>
    <s v="C1006"/>
    <x v="3"/>
    <x v="1"/>
    <x v="0"/>
    <n v="5"/>
    <n v="1276"/>
    <n v="5"/>
    <x v="2"/>
    <n v="6061"/>
    <n v="4771.2"/>
    <n v="1289.8"/>
    <x v="0"/>
    <n v="1"/>
    <n v="21.28031677940934"/>
  </r>
  <r>
    <s v="ORD10007"/>
    <d v="2026-01-14T16:06:05"/>
    <s v="C1007"/>
    <x v="2"/>
    <x v="1"/>
    <x v="0"/>
    <n v="1"/>
    <n v="2503"/>
    <n v="0"/>
    <x v="1"/>
    <n v="2503"/>
    <n v="1900.26"/>
    <n v="602.74"/>
    <x v="0"/>
    <n v="1"/>
    <n v="24.080703156212547"/>
  </r>
  <r>
    <s v="ORD10008"/>
    <d v="2026-01-16T22:47:05"/>
    <s v="C1008"/>
    <x v="2"/>
    <x v="1"/>
    <x v="2"/>
    <n v="1"/>
    <n v="2391"/>
    <n v="15"/>
    <x v="2"/>
    <n v="2032.35"/>
    <n v="1426.28"/>
    <n v="606.07000000000005"/>
    <x v="0"/>
    <n v="1"/>
    <n v="29.82114301178439"/>
  </r>
  <r>
    <s v="ORD10009"/>
    <d v="2026-01-19T05:28:06"/>
    <s v="C1009"/>
    <x v="2"/>
    <x v="1"/>
    <x v="0"/>
    <n v="3"/>
    <n v="2134"/>
    <n v="0"/>
    <x v="1"/>
    <n v="6402"/>
    <n v="4191.13"/>
    <n v="2210.87"/>
    <x v="0"/>
    <n v="1"/>
    <n v="34.534051858794122"/>
  </r>
  <r>
    <s v="ORD10010"/>
    <d v="2026-01-21T12:09:07"/>
    <s v="C1010"/>
    <x v="1"/>
    <x v="1"/>
    <x v="3"/>
    <n v="2"/>
    <n v="2994"/>
    <n v="15"/>
    <x v="0"/>
    <n v="5089.8"/>
    <n v="3314.92"/>
    <n v="1774.88"/>
    <x v="0"/>
    <n v="1"/>
    <n v="34.871311249950878"/>
  </r>
  <r>
    <s v="ORD10011"/>
    <d v="2026-01-23T18:50:08"/>
    <s v="C1011"/>
    <x v="0"/>
    <x v="0"/>
    <x v="0"/>
    <n v="5"/>
    <n v="14200"/>
    <n v="5"/>
    <x v="0"/>
    <n v="67450"/>
    <n v="45194.78"/>
    <n v="22255.22"/>
    <x v="0"/>
    <n v="1"/>
    <n v="32.995137138621203"/>
  </r>
  <r>
    <s v="ORD10012"/>
    <d v="2026-01-26T01:31:08"/>
    <s v="C1012"/>
    <x v="2"/>
    <x v="1"/>
    <x v="3"/>
    <n v="4"/>
    <n v="2639"/>
    <n v="10"/>
    <x v="3"/>
    <n v="9500.4"/>
    <n v="6933.82"/>
    <n v="2566.58"/>
    <x v="0"/>
    <n v="1"/>
    <n v="27.015494084459601"/>
  </r>
  <r>
    <s v="ORD10013"/>
    <d v="2026-01-28T08:12:09"/>
    <s v="C1013"/>
    <x v="1"/>
    <x v="1"/>
    <x v="3"/>
    <n v="2"/>
    <n v="2832"/>
    <n v="0"/>
    <x v="2"/>
    <n v="5664"/>
    <n v="4321.17"/>
    <n v="1342.83"/>
    <x v="0"/>
    <n v="1"/>
    <n v="23.708156779661017"/>
  </r>
  <r>
    <s v="ORD10014"/>
    <d v="2026-01-30T14:53:10"/>
    <s v="C1014"/>
    <x v="3"/>
    <x v="1"/>
    <x v="3"/>
    <n v="4"/>
    <n v="1687"/>
    <n v="15"/>
    <x v="3"/>
    <n v="5735.8"/>
    <n v="4313.55"/>
    <n v="1422.25"/>
    <x v="0"/>
    <n v="1"/>
    <n v="24.796017992259141"/>
  </r>
  <r>
    <s v="ORD10015"/>
    <d v="2026-02-01T21:34:11"/>
    <s v="C1015"/>
    <x v="0"/>
    <x v="0"/>
    <x v="2"/>
    <n v="3"/>
    <n v="14259"/>
    <n v="0"/>
    <x v="3"/>
    <n v="42777"/>
    <n v="28916.69"/>
    <n v="13860.31"/>
    <x v="1"/>
    <n v="2"/>
    <n v="32.401313790120852"/>
  </r>
  <r>
    <s v="ORD10016"/>
    <d v="2026-02-04T04:15:11"/>
    <s v="C1016"/>
    <x v="3"/>
    <x v="1"/>
    <x v="2"/>
    <n v="3"/>
    <n v="1469"/>
    <n v="15"/>
    <x v="1"/>
    <n v="3745.95"/>
    <n v="3037.86"/>
    <n v="708.09"/>
    <x v="1"/>
    <n v="2"/>
    <n v="18.902815040243464"/>
  </r>
  <r>
    <s v="ORD10017"/>
    <d v="2026-02-06T10:56:12"/>
    <s v="C1017"/>
    <x v="0"/>
    <x v="0"/>
    <x v="2"/>
    <n v="1"/>
    <n v="14174"/>
    <n v="0"/>
    <x v="3"/>
    <n v="14174"/>
    <n v="10879.67"/>
    <n v="3294.33"/>
    <x v="1"/>
    <n v="2"/>
    <n v="23.242062932129251"/>
  </r>
  <r>
    <s v="ORD10018"/>
    <d v="2026-02-08T17:37:13"/>
    <s v="C1018"/>
    <x v="1"/>
    <x v="1"/>
    <x v="0"/>
    <n v="5"/>
    <n v="2821"/>
    <n v="15"/>
    <x v="1"/>
    <n v="11989.25"/>
    <n v="8762.59"/>
    <n v="3226.66"/>
    <x v="1"/>
    <n v="2"/>
    <n v="26.912942844631647"/>
  </r>
  <r>
    <s v="ORD10019"/>
    <d v="2026-02-11T00:18:14"/>
    <s v="C1019"/>
    <x v="4"/>
    <x v="0"/>
    <x v="3"/>
    <n v="4"/>
    <n v="55469"/>
    <n v="15"/>
    <x v="1"/>
    <n v="188594.6"/>
    <n v="140002.1"/>
    <n v="48592.5"/>
    <x v="1"/>
    <n v="2"/>
    <n v="25.765583956274462"/>
  </r>
  <r>
    <s v="ORD10020"/>
    <d v="2026-02-13T06:59:14"/>
    <s v="C1020"/>
    <x v="0"/>
    <x v="0"/>
    <x v="2"/>
    <n v="2"/>
    <n v="13837"/>
    <n v="5"/>
    <x v="3"/>
    <n v="26290.3"/>
    <n v="18506.27"/>
    <n v="7784.03"/>
    <x v="1"/>
    <n v="2"/>
    <n v="29.607992301343085"/>
  </r>
  <r>
    <s v="ORD10021"/>
    <d v="2026-02-15T13:40:15"/>
    <s v="C1021"/>
    <x v="3"/>
    <x v="1"/>
    <x v="2"/>
    <n v="3"/>
    <n v="1229"/>
    <n v="15"/>
    <x v="2"/>
    <n v="3133.95"/>
    <n v="2098.3200000000002"/>
    <n v="1035.6300000000001"/>
    <x v="1"/>
    <n v="2"/>
    <n v="33.045517637486242"/>
  </r>
  <r>
    <s v="ORD10022"/>
    <d v="2026-02-17T20:21:16"/>
    <s v="C1022"/>
    <x v="1"/>
    <x v="1"/>
    <x v="0"/>
    <n v="1"/>
    <n v="3164"/>
    <n v="5"/>
    <x v="2"/>
    <n v="3005.8"/>
    <n v="2077.59"/>
    <n v="928.21"/>
    <x v="1"/>
    <n v="2"/>
    <n v="30.880630780491046"/>
  </r>
  <r>
    <s v="ORD10023"/>
    <d v="2026-02-20T03:02:17"/>
    <s v="C1023"/>
    <x v="5"/>
    <x v="0"/>
    <x v="2"/>
    <n v="1"/>
    <n v="14362"/>
    <n v="15"/>
    <x v="2"/>
    <n v="12207.7"/>
    <n v="9419.09"/>
    <n v="2788.61"/>
    <x v="1"/>
    <n v="2"/>
    <n v="22.843041686804231"/>
  </r>
  <r>
    <s v="ORD10024"/>
    <d v="2026-02-22T09:43:17"/>
    <s v="C1024"/>
    <x v="4"/>
    <x v="0"/>
    <x v="0"/>
    <n v="4"/>
    <n v="55237"/>
    <n v="10"/>
    <x v="2"/>
    <n v="198853.2"/>
    <n v="123861.42"/>
    <n v="74991.78"/>
    <x v="1"/>
    <n v="2"/>
    <n v="37.712131361225268"/>
  </r>
  <r>
    <s v="ORD10025"/>
    <d v="2026-02-24T16:24:18"/>
    <s v="C1025"/>
    <x v="4"/>
    <x v="0"/>
    <x v="4"/>
    <n v="3"/>
    <n v="55082"/>
    <n v="10"/>
    <x v="2"/>
    <n v="148721.4"/>
    <n v="95659.77"/>
    <n v="53061.63"/>
    <x v="1"/>
    <n v="2"/>
    <n v="35.678543908274129"/>
  </r>
  <r>
    <s v="ORD10026"/>
    <d v="2026-02-26T23:05:19"/>
    <s v="C1026"/>
    <x v="2"/>
    <x v="1"/>
    <x v="2"/>
    <n v="5"/>
    <n v="2026"/>
    <n v="10"/>
    <x v="3"/>
    <n v="9117"/>
    <n v="5736.42"/>
    <n v="3380.58"/>
    <x v="1"/>
    <n v="2"/>
    <n v="37.079960513326753"/>
  </r>
  <r>
    <s v="ORD10027"/>
    <d v="2026-03-01T05:46:20"/>
    <s v="C1027"/>
    <x v="2"/>
    <x v="1"/>
    <x v="4"/>
    <n v="3"/>
    <n v="2225"/>
    <n v="15"/>
    <x v="3"/>
    <n v="5673.75"/>
    <n v="3563.94"/>
    <n v="2109.81"/>
    <x v="2"/>
    <n v="3"/>
    <n v="37.185459352280233"/>
  </r>
  <r>
    <s v="ORD10028"/>
    <d v="2026-03-03T12:27:21"/>
    <s v="C1028"/>
    <x v="3"/>
    <x v="1"/>
    <x v="0"/>
    <n v="4"/>
    <n v="1276"/>
    <n v="5"/>
    <x v="0"/>
    <n v="4848.8"/>
    <n v="3835.85"/>
    <n v="1012.95"/>
    <x v="2"/>
    <n v="3"/>
    <n v="20.890735852169609"/>
  </r>
  <r>
    <s v="ORD10029"/>
    <d v="2026-03-05T19:08:21"/>
    <s v="C1029"/>
    <x v="0"/>
    <x v="0"/>
    <x v="3"/>
    <n v="4"/>
    <n v="14408"/>
    <n v="5"/>
    <x v="2"/>
    <n v="54750.400000000001"/>
    <n v="41650.36"/>
    <n v="13100.04"/>
    <x v="2"/>
    <n v="3"/>
    <n v="23.926838890674773"/>
  </r>
  <r>
    <s v="ORD10030"/>
    <d v="2026-03-08T01:49:22"/>
    <s v="C1030"/>
    <x v="0"/>
    <x v="0"/>
    <x v="2"/>
    <n v="3"/>
    <n v="14083"/>
    <n v="15"/>
    <x v="3"/>
    <n v="35911.65"/>
    <n v="25670.9"/>
    <n v="10240.75"/>
    <x v="2"/>
    <n v="3"/>
    <n v="28.516512051103192"/>
  </r>
  <r>
    <s v="ORD10031"/>
    <d v="2026-03-10T08:30:23"/>
    <s v="C1031"/>
    <x v="2"/>
    <x v="1"/>
    <x v="0"/>
    <n v="4"/>
    <n v="2480"/>
    <n v="10"/>
    <x v="0"/>
    <n v="8928"/>
    <n v="5710.05"/>
    <n v="3217.95"/>
    <x v="2"/>
    <n v="3"/>
    <n v="36.043346774193544"/>
  </r>
  <r>
    <s v="ORD10032"/>
    <d v="2026-03-12T15:11:24"/>
    <s v="C1032"/>
    <x v="0"/>
    <x v="0"/>
    <x v="3"/>
    <n v="3"/>
    <n v="14252"/>
    <n v="9.9999999999999964"/>
    <x v="2"/>
    <n v="38480.400000000001"/>
    <n v="27641.360000000001"/>
    <n v="10839.04"/>
    <x v="2"/>
    <n v="3"/>
    <n v="28.167690564547147"/>
  </r>
  <r>
    <s v="ORD10033"/>
    <d v="2026-03-14T21:52:24"/>
    <s v="C1033"/>
    <x v="0"/>
    <x v="0"/>
    <x v="3"/>
    <n v="2"/>
    <n v="14458"/>
    <n v="5"/>
    <x v="1"/>
    <n v="27470.2"/>
    <n v="19632.8"/>
    <n v="7837.4"/>
    <x v="2"/>
    <n v="3"/>
    <n v="28.530553108459344"/>
  </r>
  <r>
    <s v="ORD10034"/>
    <d v="2026-03-17T04:33:25"/>
    <s v="C1034"/>
    <x v="4"/>
    <x v="0"/>
    <x v="4"/>
    <n v="3"/>
    <n v="55315"/>
    <n v="10"/>
    <x v="0"/>
    <n v="149350.5"/>
    <n v="97770.87"/>
    <n v="51579.63"/>
    <x v="2"/>
    <n v="3"/>
    <n v="34.535960709873756"/>
  </r>
  <r>
    <s v="ORD10035"/>
    <d v="2026-03-19T11:14:26"/>
    <s v="C1035"/>
    <x v="2"/>
    <x v="1"/>
    <x v="0"/>
    <n v="3"/>
    <n v="2546"/>
    <n v="0"/>
    <x v="3"/>
    <n v="7638"/>
    <n v="5398.31"/>
    <n v="2239.69"/>
    <x v="2"/>
    <n v="3"/>
    <n v="29.322990311599895"/>
  </r>
  <r>
    <s v="ORD10036"/>
    <d v="2026-03-21T17:55:27"/>
    <s v="C1036"/>
    <x v="1"/>
    <x v="1"/>
    <x v="3"/>
    <n v="4"/>
    <n v="2991"/>
    <n v="5"/>
    <x v="1"/>
    <n v="11365.8"/>
    <n v="7952.66"/>
    <n v="3413.14"/>
    <x v="2"/>
    <n v="3"/>
    <n v="30.029914304316456"/>
  </r>
  <r>
    <s v="ORD10037"/>
    <d v="2026-03-24T00:36:27"/>
    <s v="C1037"/>
    <x v="2"/>
    <x v="1"/>
    <x v="2"/>
    <n v="4"/>
    <n v="2048"/>
    <n v="10"/>
    <x v="1"/>
    <n v="7372.8"/>
    <n v="5479.24"/>
    <n v="1893.56"/>
    <x v="2"/>
    <n v="3"/>
    <n v="25.683051215277775"/>
  </r>
  <r>
    <s v="ORD10038"/>
    <d v="2026-03-26T07:17:28"/>
    <s v="C1038"/>
    <x v="1"/>
    <x v="1"/>
    <x v="2"/>
    <n v="1"/>
    <n v="3311"/>
    <n v="5"/>
    <x v="1"/>
    <n v="3145.45"/>
    <n v="2349.71"/>
    <n v="795.74"/>
    <x v="2"/>
    <n v="3"/>
    <n v="25.298129043539081"/>
  </r>
  <r>
    <s v="ORD10039"/>
    <d v="2026-03-28T13:58:29"/>
    <s v="C1039"/>
    <x v="4"/>
    <x v="0"/>
    <x v="4"/>
    <n v="1"/>
    <n v="54816"/>
    <n v="0"/>
    <x v="0"/>
    <n v="54816"/>
    <n v="34482.6"/>
    <n v="20333.400000000001"/>
    <x v="2"/>
    <n v="3"/>
    <n v="37.093914185639235"/>
  </r>
  <r>
    <s v="ORD10040"/>
    <d v="2026-03-30T20:39:30"/>
    <s v="C1040"/>
    <x v="3"/>
    <x v="1"/>
    <x v="3"/>
    <n v="2"/>
    <n v="1171"/>
    <n v="5"/>
    <x v="3"/>
    <n v="2224.9"/>
    <n v="1546.13"/>
    <n v="678.77"/>
    <x v="2"/>
    <n v="3"/>
    <n v="30.507887994966065"/>
  </r>
  <r>
    <s v="ORD10041"/>
    <d v="2026-04-02T03:20:30"/>
    <s v="C1041"/>
    <x v="0"/>
    <x v="0"/>
    <x v="0"/>
    <n v="1"/>
    <n v="14019"/>
    <n v="5"/>
    <x v="1"/>
    <n v="13318.05"/>
    <n v="9924.24"/>
    <n v="3393.81"/>
    <x v="3"/>
    <n v="4"/>
    <n v="25.482784641895773"/>
  </r>
  <r>
    <s v="ORD10042"/>
    <d v="2026-04-04T10:01:31"/>
    <s v="C1042"/>
    <x v="4"/>
    <x v="0"/>
    <x v="2"/>
    <n v="3"/>
    <n v="54957"/>
    <n v="5"/>
    <x v="2"/>
    <n v="156627.45000000001"/>
    <n v="112870.01"/>
    <n v="43757.440000000002"/>
    <x v="3"/>
    <n v="4"/>
    <n v="27.937274085736568"/>
  </r>
  <r>
    <s v="ORD10043"/>
    <d v="2026-04-06T16:42:32"/>
    <s v="C1043"/>
    <x v="0"/>
    <x v="0"/>
    <x v="3"/>
    <n v="4"/>
    <n v="14276"/>
    <n v="5"/>
    <x v="1"/>
    <n v="54248.800000000003"/>
    <n v="42926.97"/>
    <n v="11321.83"/>
    <x v="3"/>
    <n v="4"/>
    <n v="20.870194363746293"/>
  </r>
  <r>
    <s v="ORD10044"/>
    <d v="2026-04-08T23:23:33"/>
    <s v="C1044"/>
    <x v="3"/>
    <x v="1"/>
    <x v="3"/>
    <n v="1"/>
    <n v="1045"/>
    <n v="0"/>
    <x v="1"/>
    <n v="1045"/>
    <n v="785.57"/>
    <n v="259.43"/>
    <x v="3"/>
    <n v="4"/>
    <n v="24.825837320574163"/>
  </r>
  <r>
    <s v="ORD10045"/>
    <d v="2026-04-11T06:04:33"/>
    <s v="C1045"/>
    <x v="3"/>
    <x v="1"/>
    <x v="5"/>
    <n v="1"/>
    <n v="1372"/>
    <n v="15"/>
    <x v="0"/>
    <n v="1166.2"/>
    <n v="761.05"/>
    <n v="405.15"/>
    <x v="3"/>
    <n v="4"/>
    <n v="34.741039272851992"/>
  </r>
  <r>
    <s v="ORD10046"/>
    <d v="2026-04-13T12:45:34"/>
    <s v="C1046"/>
    <x v="4"/>
    <x v="0"/>
    <x v="2"/>
    <n v="2"/>
    <n v="55317"/>
    <n v="5"/>
    <x v="0"/>
    <n v="105102.3"/>
    <n v="66646.81"/>
    <n v="38455.49"/>
    <x v="3"/>
    <n v="4"/>
    <n v="36.588628412508569"/>
  </r>
  <r>
    <s v="ORD10047"/>
    <d v="2026-04-15T19:26:35"/>
    <s v="C1047"/>
    <x v="3"/>
    <x v="1"/>
    <x v="2"/>
    <n v="2"/>
    <n v="1098"/>
    <n v="5"/>
    <x v="3"/>
    <n v="2086.1999999999998"/>
    <n v="1561.49"/>
    <n v="524.71"/>
    <x v="3"/>
    <n v="4"/>
    <n v="25.151471575112648"/>
  </r>
  <r>
    <s v="ORD10048"/>
    <d v="2026-04-18T02:07:36"/>
    <s v="C1048"/>
    <x v="1"/>
    <x v="1"/>
    <x v="0"/>
    <n v="3"/>
    <n v="2836"/>
    <n v="10"/>
    <x v="2"/>
    <n v="7657.2"/>
    <n v="4788.0600000000004"/>
    <n v="2869.14"/>
    <x v="3"/>
    <n v="4"/>
    <n v="37.469832314684218"/>
  </r>
  <r>
    <s v="ORD10049"/>
    <d v="2026-04-20T08:48:36"/>
    <s v="C1049"/>
    <x v="3"/>
    <x v="1"/>
    <x v="2"/>
    <n v="4"/>
    <n v="1279"/>
    <n v="5"/>
    <x v="0"/>
    <n v="4860.2"/>
    <n v="3582.72"/>
    <n v="1277.48"/>
    <x v="3"/>
    <n v="4"/>
    <n v="26.284515040533314"/>
  </r>
  <r>
    <s v="ORD10050"/>
    <d v="2026-04-22T15:29:37"/>
    <s v="C1050"/>
    <x v="0"/>
    <x v="0"/>
    <x v="0"/>
    <n v="2"/>
    <n v="14148"/>
    <n v="10"/>
    <x v="1"/>
    <n v="25466.400000000001"/>
    <n v="20578.02"/>
    <n v="4888.38"/>
    <x v="3"/>
    <n v="4"/>
    <n v="19.195410423145791"/>
  </r>
  <r>
    <s v="ORD10051"/>
    <d v="2026-04-24T22:10:38"/>
    <s v="C1051"/>
    <x v="0"/>
    <x v="0"/>
    <x v="2"/>
    <n v="1"/>
    <n v="14296"/>
    <n v="15"/>
    <x v="3"/>
    <n v="12151.6"/>
    <n v="8932.58"/>
    <n v="3219.02"/>
    <x v="3"/>
    <n v="4"/>
    <n v="26.490503308206325"/>
  </r>
  <r>
    <s v="ORD10052"/>
    <d v="2026-04-27T04:51:39"/>
    <s v="C1052"/>
    <x v="0"/>
    <x v="0"/>
    <x v="4"/>
    <n v="4"/>
    <n v="14101"/>
    <n v="0"/>
    <x v="1"/>
    <n v="56404"/>
    <n v="39349.35"/>
    <n v="17054.650000000001"/>
    <x v="3"/>
    <n v="4"/>
    <n v="30.236596695269842"/>
  </r>
  <r>
    <s v="ORD10053"/>
    <d v="2026-04-29T11:32:39"/>
    <s v="C1053"/>
    <x v="0"/>
    <x v="0"/>
    <x v="2"/>
    <n v="4"/>
    <n v="13980"/>
    <n v="0"/>
    <x v="1"/>
    <n v="55920"/>
    <n v="41864.94"/>
    <n v="14055.06"/>
    <x v="3"/>
    <n v="4"/>
    <n v="25.134227467811161"/>
  </r>
  <r>
    <s v="ORD10054"/>
    <d v="2026-05-01T18:13:40"/>
    <s v="C1054"/>
    <x v="1"/>
    <x v="1"/>
    <x v="0"/>
    <n v="1"/>
    <n v="3406"/>
    <n v="15"/>
    <x v="0"/>
    <n v="2895.1"/>
    <n v="2060.3000000000002"/>
    <n v="834.8"/>
    <x v="4"/>
    <n v="5"/>
    <n v="28.834927981762288"/>
  </r>
  <r>
    <s v="ORD10055"/>
    <d v="2026-05-04T00:54:41"/>
    <s v="C1055"/>
    <x v="2"/>
    <x v="1"/>
    <x v="0"/>
    <n v="2"/>
    <n v="2098"/>
    <n v="0"/>
    <x v="3"/>
    <n v="4196"/>
    <n v="3059.4"/>
    <n v="1136.5999999999999"/>
    <x v="4"/>
    <n v="5"/>
    <n v="27.087702573879884"/>
  </r>
  <r>
    <s v="ORD10056"/>
    <d v="2026-05-06T07:35:42"/>
    <s v="C1056"/>
    <x v="4"/>
    <x v="0"/>
    <x v="4"/>
    <n v="1"/>
    <n v="55499"/>
    <n v="15"/>
    <x v="4"/>
    <n v="47174.15"/>
    <n v="38130.53"/>
    <n v="9043.6200000000008"/>
    <x v="4"/>
    <n v="5"/>
    <n v="19.170711077995048"/>
  </r>
  <r>
    <s v="ORD10057"/>
    <d v="2026-05-08T14:16:43"/>
    <s v="C1057"/>
    <x v="0"/>
    <x v="0"/>
    <x v="2"/>
    <n v="4"/>
    <n v="13915"/>
    <n v="15"/>
    <x v="2"/>
    <n v="47311"/>
    <n v="32986.199999999997"/>
    <n v="14324.8"/>
    <x v="4"/>
    <n v="5"/>
    <n v="30.277948045908982"/>
  </r>
  <r>
    <s v="ORD10058"/>
    <d v="2026-05-10T20:57:43"/>
    <s v="C1058"/>
    <x v="3"/>
    <x v="1"/>
    <x v="2"/>
    <n v="5"/>
    <n v="1190"/>
    <n v="15"/>
    <x v="0"/>
    <n v="5057.5"/>
    <n v="4107.8900000000003"/>
    <n v="949.61"/>
    <x v="4"/>
    <n v="5"/>
    <n v="18.77627286208601"/>
  </r>
  <r>
    <s v="ORD10059"/>
    <d v="2026-05-13T03:38:44"/>
    <s v="C1059"/>
    <x v="0"/>
    <x v="0"/>
    <x v="4"/>
    <n v="5"/>
    <n v="14052"/>
    <n v="0"/>
    <x v="0"/>
    <n v="70260"/>
    <n v="56283.19"/>
    <n v="13976.81"/>
    <x v="4"/>
    <n v="5"/>
    <n v="19.892983205237687"/>
  </r>
  <r>
    <s v="ORD10060"/>
    <d v="2026-05-15T10:19:45"/>
    <s v="C1060"/>
    <x v="3"/>
    <x v="1"/>
    <x v="2"/>
    <n v="3"/>
    <n v="1160"/>
    <n v="10"/>
    <x v="3"/>
    <n v="3132"/>
    <n v="2064.48"/>
    <n v="1067.52"/>
    <x v="4"/>
    <n v="5"/>
    <n v="34.08429118773946"/>
  </r>
  <r>
    <s v="ORD10061"/>
    <d v="2026-05-17T17:00:46"/>
    <s v="C1061"/>
    <x v="3"/>
    <x v="1"/>
    <x v="2"/>
    <n v="1"/>
    <n v="1255"/>
    <n v="15"/>
    <x v="2"/>
    <n v="1066.75"/>
    <n v="676.18"/>
    <n v="390.57"/>
    <x v="4"/>
    <n v="5"/>
    <n v="36.613077103351301"/>
  </r>
  <r>
    <s v="ORD10062"/>
    <d v="2026-05-19T23:41:46"/>
    <s v="C1062"/>
    <x v="0"/>
    <x v="0"/>
    <x v="0"/>
    <n v="1"/>
    <n v="14122"/>
    <n v="5"/>
    <x v="2"/>
    <n v="13415.9"/>
    <n v="8588.26"/>
    <n v="4827.6400000000003"/>
    <x v="4"/>
    <n v="5"/>
    <n v="35.984466193099237"/>
  </r>
  <r>
    <s v="ORD10063"/>
    <d v="2026-05-22T06:22:47"/>
    <s v="C1063"/>
    <x v="1"/>
    <x v="1"/>
    <x v="2"/>
    <n v="3"/>
    <n v="2927"/>
    <n v="0"/>
    <x v="2"/>
    <n v="8781"/>
    <n v="5476.22"/>
    <n v="3304.78"/>
    <x v="4"/>
    <n v="5"/>
    <n v="37.635576813574765"/>
  </r>
  <r>
    <s v="ORD10064"/>
    <d v="2026-05-24T13:03:48"/>
    <s v="C1064"/>
    <x v="3"/>
    <x v="1"/>
    <x v="2"/>
    <n v="3"/>
    <n v="1017"/>
    <n v="15"/>
    <x v="1"/>
    <n v="2593.35"/>
    <n v="1656.86"/>
    <n v="936.49"/>
    <x v="4"/>
    <n v="5"/>
    <n v="36.111207511519851"/>
  </r>
  <r>
    <s v="ORD10065"/>
    <d v="2026-05-26T19:44:49"/>
    <s v="C1065"/>
    <x v="3"/>
    <x v="1"/>
    <x v="4"/>
    <n v="3"/>
    <n v="1565"/>
    <n v="15"/>
    <x v="2"/>
    <n v="3990.75"/>
    <n v="3019.41"/>
    <n v="971.34"/>
    <x v="4"/>
    <n v="5"/>
    <n v="24.339785754557415"/>
  </r>
  <r>
    <s v="ORD10066"/>
    <d v="2026-05-29T02:25:49"/>
    <s v="C1066"/>
    <x v="0"/>
    <x v="0"/>
    <x v="4"/>
    <n v="4"/>
    <n v="14369"/>
    <n v="5"/>
    <x v="1"/>
    <n v="54602.2"/>
    <n v="34630.78"/>
    <n v="19971.419999999998"/>
    <x v="4"/>
    <n v="5"/>
    <n v="36.576218540644881"/>
  </r>
  <r>
    <s v="ORD10067"/>
    <d v="2026-05-31T09:06:50"/>
    <s v="C1067"/>
    <x v="3"/>
    <x v="1"/>
    <x v="3"/>
    <n v="1"/>
    <n v="3311"/>
    <n v="10"/>
    <x v="3"/>
    <n v="1189.8"/>
    <n v="813.58"/>
    <n v="376.22"/>
    <x v="4"/>
    <n v="5"/>
    <n v="31.620440410152973"/>
  </r>
  <r>
    <s v="ORD10068"/>
    <d v="2026-06-02T15:47:51"/>
    <s v="C1068"/>
    <x v="3"/>
    <x v="1"/>
    <x v="0"/>
    <n v="4"/>
    <n v="1685"/>
    <n v="10"/>
    <x v="1"/>
    <n v="6066"/>
    <n v="4785.92"/>
    <n v="1280.08"/>
    <x v="5"/>
    <n v="6"/>
    <n v="21.102538740520934"/>
  </r>
  <r>
    <s v="ORD10069"/>
    <d v="2026-06-04T22:28:52"/>
    <s v="C1069"/>
    <x v="0"/>
    <x v="0"/>
    <x v="2"/>
    <n v="3"/>
    <n v="14425"/>
    <n v="10"/>
    <x v="3"/>
    <n v="38947.5"/>
    <n v="24328.73"/>
    <n v="14618.77"/>
    <x v="5"/>
    <n v="6"/>
    <n v="37.534552923807688"/>
  </r>
  <r>
    <s v="ORD10070"/>
    <d v="2026-06-07T05:09:52"/>
    <s v="C1070"/>
    <x v="0"/>
    <x v="0"/>
    <x v="2"/>
    <n v="1"/>
    <n v="14087"/>
    <n v="15"/>
    <x v="2"/>
    <n v="11973.95"/>
    <n v="9374.33"/>
    <n v="2599.62"/>
    <x v="5"/>
    <n v="6"/>
    <n v="21.71063015963821"/>
  </r>
  <r>
    <s v="ORD10071"/>
    <d v="2026-06-09T11:50:53"/>
    <s v="C1011"/>
    <x v="4"/>
    <x v="0"/>
    <x v="3"/>
    <n v="4"/>
    <n v="55462"/>
    <n v="15"/>
    <x v="2"/>
    <n v="188570.8"/>
    <n v="127543.81"/>
    <n v="61026.99"/>
    <x v="5"/>
    <n v="6"/>
    <n v="32.362905603624739"/>
  </r>
  <r>
    <s v="ORD10072"/>
    <d v="2026-06-11T18:31:54"/>
    <s v="C1072"/>
    <x v="1"/>
    <x v="1"/>
    <x v="2"/>
    <n v="4"/>
    <n v="3438"/>
    <n v="15"/>
    <x v="3"/>
    <n v="11689.2"/>
    <n v="7523.55"/>
    <n v="4165.6499999999996"/>
    <x v="5"/>
    <n v="6"/>
    <n v="35.636741607637809"/>
  </r>
  <r>
    <s v="ORD10073"/>
    <d v="2026-06-14T01:12:55"/>
    <s v="C1073"/>
    <x v="1"/>
    <x v="1"/>
    <x v="0"/>
    <n v="3"/>
    <n v="2954"/>
    <n v="0"/>
    <x v="0"/>
    <n v="8862"/>
    <n v="6729.34"/>
    <n v="2132.66"/>
    <x v="5"/>
    <n v="6"/>
    <n v="24.065222297449786"/>
  </r>
  <r>
    <s v="ORD10074"/>
    <d v="2026-06-16T07:53:55"/>
    <s v="C1074"/>
    <x v="3"/>
    <x v="1"/>
    <x v="3"/>
    <n v="1"/>
    <n v="1489"/>
    <n v="5"/>
    <x v="3"/>
    <n v="1414.55"/>
    <n v="1054.96"/>
    <n v="359.59"/>
    <x v="5"/>
    <n v="6"/>
    <n v="25.420805203068113"/>
  </r>
  <r>
    <s v="ORD10075"/>
    <d v="2026-06-18T14:34:56"/>
    <s v="C1075"/>
    <x v="1"/>
    <x v="1"/>
    <x v="0"/>
    <n v="3"/>
    <n v="3185"/>
    <n v="15"/>
    <x v="0"/>
    <n v="8121.75"/>
    <n v="6460.81"/>
    <n v="1660.94"/>
    <x v="5"/>
    <n v="6"/>
    <n v="20.450518669006065"/>
  </r>
  <r>
    <s v="ORD10076"/>
    <d v="2026-06-20T21:15:57"/>
    <s v="C1076"/>
    <x v="3"/>
    <x v="1"/>
    <x v="3"/>
    <n v="1"/>
    <n v="1103"/>
    <n v="5"/>
    <x v="1"/>
    <n v="1047.8499999999999"/>
    <n v="803.72"/>
    <n v="244.13"/>
    <x v="5"/>
    <n v="6"/>
    <n v="23.298181991697287"/>
  </r>
  <r>
    <s v="ORD10077"/>
    <d v="2026-06-23T03:56:58"/>
    <s v="C1077"/>
    <x v="4"/>
    <x v="0"/>
    <x v="3"/>
    <n v="5"/>
    <n v="55192"/>
    <n v="5"/>
    <x v="1"/>
    <n v="262162"/>
    <n v="204668.87"/>
    <n v="57493.13"/>
    <x v="5"/>
    <n v="6"/>
    <n v="21.93038274044293"/>
  </r>
  <r>
    <s v="ORD10078"/>
    <d v="2026-06-25T10:37:58"/>
    <s v="C1078"/>
    <x v="0"/>
    <x v="0"/>
    <x v="4"/>
    <n v="2"/>
    <n v="14045"/>
    <n v="10"/>
    <x v="1"/>
    <n v="25281"/>
    <n v="17100.240000000002"/>
    <n v="8180.76"/>
    <x v="5"/>
    <n v="6"/>
    <n v="32.359321229381749"/>
  </r>
  <r>
    <s v="ORD10079"/>
    <d v="2026-06-27T17:18:59"/>
    <s v="C1079"/>
    <x v="0"/>
    <x v="0"/>
    <x v="0"/>
    <n v="2"/>
    <n v="13975"/>
    <n v="0"/>
    <x v="2"/>
    <n v="27950"/>
    <n v="18320.89"/>
    <n v="9629.11"/>
    <x v="5"/>
    <n v="6"/>
    <n v="34.451198568872989"/>
  </r>
  <r>
    <s v="ORD10080"/>
    <d v="2026-06-30T00:00:00"/>
    <s v="C1080"/>
    <x v="0"/>
    <x v="0"/>
    <x v="2"/>
    <n v="2"/>
    <n v="13838"/>
    <n v="15"/>
    <x v="1"/>
    <n v="23524.6"/>
    <n v="18116.830000000002"/>
    <n v="5407.77"/>
    <x v="5"/>
    <n v="6"/>
    <n v="22.9877234894535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C8A99-E325-4C78-B451-D6BD35FAA09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16">
    <pivotField showAll="0"/>
    <pivotField numFmtId="164" showAll="0"/>
    <pivotField showAll="0"/>
    <pivotField showAll="0">
      <items count="7">
        <item x="1"/>
        <item x="2"/>
        <item x="4"/>
        <item x="0"/>
        <item x="3"/>
        <item x="5"/>
        <item t="default"/>
      </items>
    </pivotField>
    <pivotField showAll="0"/>
    <pivotField showAll="0">
      <items count="8">
        <item m="1" x="6"/>
        <item x="2"/>
        <item x="0"/>
        <item x="4"/>
        <item x="1"/>
        <item x="5"/>
        <item x="3"/>
        <item t="default"/>
      </items>
    </pivotField>
    <pivotField showAll="0"/>
    <pivotField showAll="0"/>
    <pivotField showAll="0"/>
    <pivotField showAll="0"/>
    <pivotField dataField="1" showAll="0"/>
    <pivotField showAll="0"/>
    <pivotField showAll="0"/>
    <pivotField axis="axisRow" showAll="0">
      <items count="7">
        <item x="0"/>
        <item x="1"/>
        <item x="2"/>
        <item x="3"/>
        <item x="4"/>
        <item x="5"/>
        <item t="default"/>
      </items>
    </pivotField>
    <pivotField showAll="0"/>
    <pivotField numFmtId="1" showAll="0"/>
  </pivotFields>
  <rowFields count="1">
    <field x="13"/>
  </rowFields>
  <rowItems count="7">
    <i>
      <x/>
    </i>
    <i>
      <x v="1"/>
    </i>
    <i>
      <x v="2"/>
    </i>
    <i>
      <x v="3"/>
    </i>
    <i>
      <x v="4"/>
    </i>
    <i>
      <x v="5"/>
    </i>
    <i t="grand">
      <x/>
    </i>
  </rowItems>
  <colItems count="1">
    <i/>
  </colItems>
  <dataFields count="1">
    <dataField name="Sum of Sales" fld="10" baseField="0" baseItem="0" numFmtId="3"/>
  </dataFields>
  <formats count="2">
    <format dxfId="100">
      <pivotArea outline="0" collapsedLevelsAreSubtotals="1" fieldPosition="0"/>
    </format>
    <format dxfId="99">
      <pivotArea dataOnly="0" labelOnly="1" outline="0" axis="axisValues" fieldPosition="0"/>
    </format>
  </formats>
  <chartFormats count="7">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3" count="1" selected="0">
            <x v="0"/>
          </reference>
        </references>
      </pivotArea>
    </chartFormat>
    <chartFormat chart="4" format="16">
      <pivotArea type="data" outline="0" fieldPosition="0">
        <references count="2">
          <reference field="4294967294" count="1" selected="0">
            <x v="0"/>
          </reference>
          <reference field="13" count="1" selected="0">
            <x v="1"/>
          </reference>
        </references>
      </pivotArea>
    </chartFormat>
    <chartFormat chart="4" format="17">
      <pivotArea type="data" outline="0" fieldPosition="0">
        <references count="2">
          <reference field="4294967294" count="1" selected="0">
            <x v="0"/>
          </reference>
          <reference field="13" count="1" selected="0">
            <x v="2"/>
          </reference>
        </references>
      </pivotArea>
    </chartFormat>
    <chartFormat chart="4" format="18">
      <pivotArea type="data" outline="0" fieldPosition="0">
        <references count="2">
          <reference field="4294967294" count="1" selected="0">
            <x v="0"/>
          </reference>
          <reference field="13" count="1" selected="0">
            <x v="3"/>
          </reference>
        </references>
      </pivotArea>
    </chartFormat>
    <chartFormat chart="4" format="19">
      <pivotArea type="data" outline="0" fieldPosition="0">
        <references count="2">
          <reference field="4294967294" count="1" selected="0">
            <x v="0"/>
          </reference>
          <reference field="13" count="1" selected="0">
            <x v="4"/>
          </reference>
        </references>
      </pivotArea>
    </chartFormat>
    <chartFormat chart="4" format="20">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5B7E9-59DC-4E81-9950-ECE79C05ED8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22:B29" firstHeaderRow="1" firstDataRow="1" firstDataCol="1"/>
  <pivotFields count="16">
    <pivotField dataField="1" showAll="0"/>
    <pivotField numFmtId="164" showAll="0"/>
    <pivotField showAll="0"/>
    <pivotField showAll="0">
      <items count="7">
        <item x="1"/>
        <item x="2"/>
        <item x="4"/>
        <item x="0"/>
        <item x="3"/>
        <item x="5"/>
        <item t="default"/>
      </items>
    </pivotField>
    <pivotField showAll="0"/>
    <pivotField showAll="0">
      <items count="8">
        <item m="1" x="6"/>
        <item x="2"/>
        <item x="0"/>
        <item x="4"/>
        <item x="1"/>
        <item x="5"/>
        <item x="3"/>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numFmtId="1" showAll="0"/>
  </pivotFields>
  <rowFields count="1">
    <field x="13"/>
  </rowFields>
  <rowItems count="7">
    <i>
      <x/>
    </i>
    <i>
      <x v="1"/>
    </i>
    <i>
      <x v="2"/>
    </i>
    <i>
      <x v="3"/>
    </i>
    <i>
      <x v="4"/>
    </i>
    <i>
      <x v="5"/>
    </i>
    <i t="grand">
      <x/>
    </i>
  </rowItems>
  <colItems count="1">
    <i/>
  </colItems>
  <dataFields count="1">
    <dataField name="Count of Order_ID" fld="0" subtotal="count" baseField="0" baseItem="0"/>
  </dataFields>
  <formats count="2">
    <format dxfId="102">
      <pivotArea outline="0" collapsedLevelsAreSubtotals="1" fieldPosition="0"/>
    </format>
    <format dxfId="101">
      <pivotArea dataOnly="0" labelOnly="1" outline="0" axis="axisValues" fieldPosition="0"/>
    </format>
  </formats>
  <chartFormats count="7">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13" count="1" selected="0">
            <x v="0"/>
          </reference>
        </references>
      </pivotArea>
    </chartFormat>
    <chartFormat chart="17" format="16">
      <pivotArea type="data" outline="0" fieldPosition="0">
        <references count="2">
          <reference field="4294967294" count="1" selected="0">
            <x v="0"/>
          </reference>
          <reference field="13" count="1" selected="0">
            <x v="1"/>
          </reference>
        </references>
      </pivotArea>
    </chartFormat>
    <chartFormat chart="17" format="17">
      <pivotArea type="data" outline="0" fieldPosition="0">
        <references count="2">
          <reference field="4294967294" count="1" selected="0">
            <x v="0"/>
          </reference>
          <reference field="13" count="1" selected="0">
            <x v="2"/>
          </reference>
        </references>
      </pivotArea>
    </chartFormat>
    <chartFormat chart="17" format="18">
      <pivotArea type="data" outline="0" fieldPosition="0">
        <references count="2">
          <reference field="4294967294" count="1" selected="0">
            <x v="0"/>
          </reference>
          <reference field="13" count="1" selected="0">
            <x v="3"/>
          </reference>
        </references>
      </pivotArea>
    </chartFormat>
    <chartFormat chart="17" format="19">
      <pivotArea type="data" outline="0" fieldPosition="0">
        <references count="2">
          <reference field="4294967294" count="1" selected="0">
            <x v="0"/>
          </reference>
          <reference field="13" count="1" selected="0">
            <x v="4"/>
          </reference>
        </references>
      </pivotArea>
    </chartFormat>
    <chartFormat chart="17" format="20">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43F58-A331-4A70-990F-21A8B654B43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H24:H25" firstHeaderRow="1" firstDataRow="1" firstDataCol="0"/>
  <pivotFields count="16">
    <pivotField showAll="0"/>
    <pivotField numFmtId="164" showAll="0"/>
    <pivotField showAll="0"/>
    <pivotField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pivotField showAll="0">
      <items count="8">
        <item m="1" x="6"/>
        <item x="2"/>
        <item x="0"/>
        <item x="4"/>
        <item x="1"/>
        <item x="5"/>
        <item x="3"/>
        <item t="default"/>
      </items>
    </pivotField>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1" showAll="0"/>
  </pivotFields>
  <rowItems count="1">
    <i/>
  </rowItems>
  <colItems count="1">
    <i/>
  </colItems>
  <dataFields count="1">
    <dataField name="Sum of Quantity" fld="6" baseField="0" baseItem="0"/>
  </dataFields>
  <formats count="2">
    <format dxfId="104">
      <pivotArea outline="0" collapsedLevelsAreSubtotals="1" fieldPosition="0"/>
    </format>
    <format dxfId="103">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E4A20-5CFC-4FE7-9B9D-A4A8C6C6F13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H21:H22" firstHeaderRow="1" firstDataRow="1" firstDataCol="0"/>
  <pivotFields count="16">
    <pivotField dataField="1" showAll="0"/>
    <pivotField numFmtId="164" showAll="0"/>
    <pivotField showAll="0"/>
    <pivotField showAll="0">
      <items count="7">
        <item x="1"/>
        <item x="2"/>
        <item x="4"/>
        <item x="0"/>
        <item x="3"/>
        <item x="5"/>
        <item t="default"/>
      </items>
    </pivotField>
    <pivotField showAll="0"/>
    <pivotField showAll="0">
      <items count="8">
        <item m="1" x="6"/>
        <item x="2"/>
        <item x="0"/>
        <item x="4"/>
        <item x="1"/>
        <item x="5"/>
        <item x="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1" showAll="0"/>
  </pivotFields>
  <rowItems count="1">
    <i/>
  </rowItems>
  <colItems count="1">
    <i/>
  </colItems>
  <dataFields count="1">
    <dataField name="Count of Order_ID" fld="0" subtotal="count" baseField="0" baseItem="0"/>
  </dataFields>
  <formats count="2">
    <format dxfId="106">
      <pivotArea outline="0" collapsedLevelsAreSubtotals="1" fieldPosition="0"/>
    </format>
    <format dxfId="105">
      <pivotArea dataOnly="0" labelOnly="1" outline="0" axis="axisValues" fieldPosition="0"/>
    </format>
  </formats>
  <chartFormats count="1">
    <chartFormat chart="1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BEAD1-9736-4529-9F59-55934E5CBA9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E13:F20" firstHeaderRow="1" firstDataRow="1" firstDataCol="1"/>
  <pivotFields count="16">
    <pivotField showAll="0"/>
    <pivotField numFmtId="164" showAll="0"/>
    <pivotField showAll="0"/>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pivotField showAll="0">
      <items count="8">
        <item m="1" x="6"/>
        <item x="2"/>
        <item x="0"/>
        <item x="4"/>
        <item x="1"/>
        <item x="5"/>
        <item x="3"/>
        <item t="default"/>
      </items>
    </pivotField>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1" showAll="0"/>
  </pivotFields>
  <rowFields count="1">
    <field x="3"/>
  </rowFields>
  <rowItems count="7">
    <i>
      <x v="5"/>
    </i>
    <i>
      <x v="2"/>
    </i>
    <i>
      <x v="1"/>
    </i>
    <i>
      <x/>
    </i>
    <i>
      <x v="4"/>
    </i>
    <i>
      <x v="3"/>
    </i>
    <i t="grand">
      <x/>
    </i>
  </rowItems>
  <colItems count="1">
    <i/>
  </colItems>
  <dataFields count="1">
    <dataField name="Sum of Quantity" fld="6" baseField="0" baseItem="0"/>
  </dataFields>
  <formats count="2">
    <format dxfId="108">
      <pivotArea outline="0" collapsedLevelsAreSubtotals="1" fieldPosition="0"/>
    </format>
    <format dxfId="107">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BC85A-1823-4075-8CB0-FCE65D34CA9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17:H18" firstHeaderRow="1" firstDataRow="1" firstDataCol="0"/>
  <pivotFields count="16">
    <pivotField showAll="0"/>
    <pivotField numFmtId="164" showAll="0"/>
    <pivotField showAll="0"/>
    <pivotField showAll="0">
      <items count="7">
        <item x="1"/>
        <item x="2"/>
        <item x="4"/>
        <item x="0"/>
        <item x="3"/>
        <item x="5"/>
        <item t="default"/>
      </items>
    </pivotField>
    <pivotField showAll="0"/>
    <pivotField showAll="0">
      <items count="8">
        <item m="1" x="6"/>
        <item x="2"/>
        <item x="0"/>
        <item x="4"/>
        <item x="5"/>
        <item x="3"/>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pivotField numFmtId="1" showAll="0"/>
  </pivotFields>
  <rowItems count="1">
    <i/>
  </rowItems>
  <colItems count="1">
    <i/>
  </colItems>
  <dataFields count="1">
    <dataField name="Sum of Profit" fld="12" baseField="0" baseItem="0"/>
  </dataFields>
  <formats count="2">
    <format dxfId="110">
      <pivotArea outline="0" collapsedLevelsAreSubtotals="1" fieldPosition="0"/>
    </format>
    <format dxfId="109">
      <pivotArea dataOnly="0" labelOnly="1" outline="0" axis="axisValues" fieldPosition="0"/>
    </format>
  </formats>
  <chartFormats count="2">
    <chartFormat chart="5"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AA9459-B0A5-45A8-93E0-27D00F25C67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G3:H6" firstHeaderRow="1" firstDataRow="1" firstDataCol="1"/>
  <pivotFields count="16">
    <pivotField showAll="0"/>
    <pivotField numFmtId="164" showAll="0"/>
    <pivotField showAll="0"/>
    <pivotField showAll="0">
      <items count="7">
        <item x="1"/>
        <item x="2"/>
        <item x="4"/>
        <item x="0"/>
        <item x="3"/>
        <item x="5"/>
        <item t="default"/>
      </items>
    </pivotField>
    <pivotField axis="axisRow" showAll="0">
      <items count="3">
        <item x="1"/>
        <item x="0"/>
        <item t="default"/>
      </items>
    </pivotField>
    <pivotField showAll="0">
      <items count="8">
        <item m="1" x="6"/>
        <item x="2"/>
        <item x="0"/>
        <item x="4"/>
        <item x="1"/>
        <item x="5"/>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1" showAll="0"/>
  </pivotFields>
  <rowFields count="1">
    <field x="4"/>
  </rowFields>
  <rowItems count="3">
    <i>
      <x/>
    </i>
    <i>
      <x v="1"/>
    </i>
    <i t="grand">
      <x/>
    </i>
  </rowItems>
  <colItems count="1">
    <i/>
  </colItems>
  <dataFields count="1">
    <dataField name="Sum of Sales" fld="10" baseField="0" baseItem="0" numFmtId="3"/>
  </dataFields>
  <formats count="2">
    <format dxfId="112">
      <pivotArea outline="0" collapsedLevelsAreSubtotals="1" fieldPosition="0"/>
    </format>
    <format dxfId="111">
      <pivotArea dataOnly="0" labelOnly="1" outline="0" axis="axisValues" fieldPosition="0"/>
    </format>
  </formats>
  <chartFormats count="4">
    <chartFormat chart="4" format="1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9E062E-D85D-4741-B46F-BFAB994C28B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10" firstHeaderRow="1" firstDataRow="1" firstDataCol="1"/>
  <pivotFields count="16">
    <pivotField showAll="0"/>
    <pivotField numFmtId="164" showAll="0"/>
    <pivotField showAll="0"/>
    <pivotField showAll="0">
      <items count="7">
        <item x="1"/>
        <item x="2"/>
        <item x="4"/>
        <item x="0"/>
        <item x="3"/>
        <item x="5"/>
        <item t="default"/>
      </items>
    </pivotField>
    <pivotField showAll="0"/>
    <pivotField axis="axisRow" showAll="0">
      <items count="8">
        <item m="1" x="6"/>
        <item x="2"/>
        <item x="0"/>
        <item x="4"/>
        <item x="1"/>
        <item x="5"/>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1" showAll="0"/>
  </pivotFields>
  <rowFields count="1">
    <field x="5"/>
  </rowFields>
  <rowItems count="7">
    <i>
      <x v="1"/>
    </i>
    <i>
      <x v="2"/>
    </i>
    <i>
      <x v="3"/>
    </i>
    <i>
      <x v="4"/>
    </i>
    <i>
      <x v="5"/>
    </i>
    <i>
      <x v="6"/>
    </i>
    <i t="grand">
      <x/>
    </i>
  </rowItems>
  <colItems count="1">
    <i/>
  </colItems>
  <dataFields count="1">
    <dataField name="Sum of Sales" fld="10" baseField="0" baseItem="0" numFmtId="3"/>
  </dataFields>
  <formats count="2">
    <format dxfId="114">
      <pivotArea outline="0" collapsedLevelsAreSubtotals="1" fieldPosition="0"/>
    </format>
    <format dxfId="113">
      <pivotArea dataOnly="0" labelOnly="1" outline="0" axis="axisValues" fieldPosition="0"/>
    </format>
  </formats>
  <chartFormats count="1">
    <chartFormat chart="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790952-2558-4082-ACFA-E5FB7CECED5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13:H14" firstHeaderRow="1" firstDataRow="1" firstDataCol="0"/>
  <pivotFields count="16">
    <pivotField showAll="0"/>
    <pivotField numFmtId="164" showAll="0"/>
    <pivotField showAll="0"/>
    <pivotField showAll="0">
      <items count="7">
        <item x="1"/>
        <item x="2"/>
        <item x="4"/>
        <item x="0"/>
        <item x="3"/>
        <item x="5"/>
        <item t="default"/>
      </items>
    </pivotField>
    <pivotField showAll="0"/>
    <pivotField showAll="0">
      <items count="8">
        <item m="1" x="6"/>
        <item x="2"/>
        <item x="0"/>
        <item x="4"/>
        <item x="1"/>
        <item x="5"/>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1" showAll="0"/>
  </pivotFields>
  <rowItems count="1">
    <i/>
  </rowItems>
  <colItems count="1">
    <i/>
  </colItems>
  <dataFields count="1">
    <dataField name="Sum of Sales" fld="10" baseField="0" baseItem="0" numFmtId="3"/>
  </dataFields>
  <formats count="2">
    <format dxfId="116">
      <pivotArea outline="0" collapsedLevelsAreSubtotals="1" fieldPosition="0"/>
    </format>
    <format dxfId="115">
      <pivotArea dataOnly="0" labelOnly="1" outline="0" axis="axisValues" fieldPosition="0"/>
    </format>
  </formats>
  <chartFormats count="1">
    <chartFormat chart="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197C03-E250-4783-897B-F68F4BA3A1C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3:C20" firstHeaderRow="0" firstDataRow="1" firstDataCol="1"/>
  <pivotFields count="16">
    <pivotField showAll="0"/>
    <pivotField numFmtId="164" showAll="0"/>
    <pivotField showAll="0"/>
    <pivotField showAll="0">
      <items count="7">
        <item x="1"/>
        <item x="2"/>
        <item x="4"/>
        <item x="0"/>
        <item x="3"/>
        <item x="5"/>
        <item t="default"/>
      </items>
    </pivotField>
    <pivotField showAll="0"/>
    <pivotField axis="axisRow" showAll="0">
      <items count="8">
        <item m="1" x="6"/>
        <item x="2"/>
        <item x="0"/>
        <item x="4"/>
        <item x="5"/>
        <item x="3"/>
        <item x="1"/>
        <item t="default"/>
      </items>
    </pivotField>
    <pivotField showAll="0"/>
    <pivotField showAll="0"/>
    <pivotField showAll="0"/>
    <pivotField showAll="0"/>
    <pivotField dataField="1" showAll="0"/>
    <pivotField showAll="0"/>
    <pivotField dataField="1" showAll="0"/>
    <pivotField showAll="0">
      <items count="7">
        <item x="0"/>
        <item x="1"/>
        <item x="2"/>
        <item x="3"/>
        <item x="4"/>
        <item x="5"/>
        <item t="default"/>
      </items>
    </pivotField>
    <pivotField showAll="0"/>
    <pivotField numFmtId="1" showAll="0"/>
  </pivotFields>
  <rowFields count="1">
    <field x="5"/>
  </rowFields>
  <rowItems count="7">
    <i>
      <x v="1"/>
    </i>
    <i>
      <x v="2"/>
    </i>
    <i>
      <x v="3"/>
    </i>
    <i>
      <x v="4"/>
    </i>
    <i>
      <x v="5"/>
    </i>
    <i>
      <x v="6"/>
    </i>
    <i t="grand">
      <x/>
    </i>
  </rowItems>
  <colFields count="1">
    <field x="-2"/>
  </colFields>
  <colItems count="2">
    <i>
      <x/>
    </i>
    <i i="1">
      <x v="1"/>
    </i>
  </colItems>
  <dataFields count="2">
    <dataField name="Sum of Sales" fld="10" baseField="0" baseItem="0" numFmtId="3"/>
    <dataField name="Sum of Profit" fld="12" baseField="0" baseItem="0"/>
  </dataFields>
  <formats count="2">
    <format dxfId="118">
      <pivotArea outline="0" collapsedLevelsAreSubtotals="1" fieldPosition="0"/>
    </format>
    <format dxfId="117">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E4A4BC-E908-4E15-92D1-CB87E5C4DC1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D22:E28" firstHeaderRow="1" firstDataRow="1" firstDataCol="1"/>
  <pivotFields count="16">
    <pivotField showAll="0"/>
    <pivotField numFmtId="164" showAll="0"/>
    <pivotField showAll="0"/>
    <pivotField showAll="0">
      <items count="7">
        <item x="1"/>
        <item x="2"/>
        <item x="4"/>
        <item x="0"/>
        <item x="3"/>
        <item x="5"/>
        <item t="default"/>
      </items>
    </pivotField>
    <pivotField showAll="0"/>
    <pivotField showAll="0">
      <items count="8">
        <item m="1" x="6"/>
        <item x="2"/>
        <item x="0"/>
        <item x="4"/>
        <item x="1"/>
        <item x="5"/>
        <item x="3"/>
        <item t="default"/>
      </items>
    </pivotField>
    <pivotField showAll="0"/>
    <pivotField showAll="0"/>
    <pivotField showAll="0"/>
    <pivotField axis="axisRow" showAll="0">
      <items count="6">
        <item x="3"/>
        <item x="4"/>
        <item x="0"/>
        <item x="2"/>
        <item x="1"/>
        <item t="default"/>
      </items>
    </pivotField>
    <pivotField dataField="1" showAll="0"/>
    <pivotField showAll="0"/>
    <pivotField showAll="0"/>
    <pivotField showAll="0">
      <items count="7">
        <item x="0"/>
        <item x="1"/>
        <item x="2"/>
        <item x="3"/>
        <item x="4"/>
        <item x="5"/>
        <item t="default"/>
      </items>
    </pivotField>
    <pivotField showAll="0"/>
    <pivotField numFmtId="1" showAll="0"/>
  </pivotFields>
  <rowFields count="1">
    <field x="9"/>
  </rowFields>
  <rowItems count="6">
    <i>
      <x/>
    </i>
    <i>
      <x v="1"/>
    </i>
    <i>
      <x v="2"/>
    </i>
    <i>
      <x v="3"/>
    </i>
    <i>
      <x v="4"/>
    </i>
    <i t="grand">
      <x/>
    </i>
  </rowItems>
  <colItems count="1">
    <i/>
  </colItems>
  <dataFields count="1">
    <dataField name="Sum of Sales" fld="10" baseField="0" baseItem="0"/>
  </dataFields>
  <formats count="2">
    <format dxfId="120">
      <pivotArea outline="0" collapsedLevelsAreSubtotals="1" fieldPosition="0"/>
    </format>
    <format dxfId="119">
      <pivotArea dataOnly="0" labelOnly="1" outline="0" axis="axisValues" fieldPosition="0"/>
    </format>
  </formats>
  <chartFormats count="6">
    <chartFormat chart="21" format="11" series="1">
      <pivotArea type="data" outline="0" fieldPosition="0">
        <references count="1">
          <reference field="4294967294" count="1" selected="0">
            <x v="0"/>
          </reference>
        </references>
      </pivotArea>
    </chartFormat>
    <chartFormat chart="21" format="12">
      <pivotArea type="data" outline="0" fieldPosition="0">
        <references count="2">
          <reference field="4294967294" count="1" selected="0">
            <x v="0"/>
          </reference>
          <reference field="9" count="1" selected="0">
            <x v="0"/>
          </reference>
        </references>
      </pivotArea>
    </chartFormat>
    <chartFormat chart="21" format="13">
      <pivotArea type="data" outline="0" fieldPosition="0">
        <references count="2">
          <reference field="4294967294" count="1" selected="0">
            <x v="0"/>
          </reference>
          <reference field="9" count="1" selected="0">
            <x v="1"/>
          </reference>
        </references>
      </pivotArea>
    </chartFormat>
    <chartFormat chart="21" format="14">
      <pivotArea type="data" outline="0" fieldPosition="0">
        <references count="2">
          <reference field="4294967294" count="1" selected="0">
            <x v="0"/>
          </reference>
          <reference field="9" count="1" selected="0">
            <x v="2"/>
          </reference>
        </references>
      </pivotArea>
    </chartFormat>
    <chartFormat chart="21" format="15">
      <pivotArea type="data" outline="0" fieldPosition="0">
        <references count="2">
          <reference field="4294967294" count="1" selected="0">
            <x v="0"/>
          </reference>
          <reference field="9" count="1" selected="0">
            <x v="3"/>
          </reference>
        </references>
      </pivotArea>
    </chartFormat>
    <chartFormat chart="21" format="1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782CA9-D4FA-4C50-9F9B-B274A4486D08}" sourceName="Month">
  <pivotTables>
    <pivotTable tabId="2" name="PivotTable1"/>
    <pivotTable tabId="2" name="PivotTable8"/>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957129570">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1FC94E-5739-44E5-AA79-E312586180FB}" sourceName="Product">
  <pivotTables>
    <pivotTable tabId="2" name="PivotTable1"/>
    <pivotTable tabId="2" name="PivotTable8"/>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957129570">
      <items count="6">
        <i x="1" s="1"/>
        <i x="2" s="1"/>
        <i x="4" s="1"/>
        <i x="0"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B9B105-D418-4987-B4F4-B418E0CC1971}" sourceName="Region">
  <pivotTables>
    <pivotTable tabId="2" name="PivotTable1"/>
    <pivotTable tabId="2" name="PivotTable8"/>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957129570">
      <items count="7">
        <i x="2" s="1"/>
        <i x="0" s="1"/>
        <i x="4" s="1"/>
        <i x="1" s="1"/>
        <i x="5"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DD41786-AC2D-4AEE-A258-0EC4046C9B40}" cache="Slicer_Month" caption="Month" columnCount="3" style="SlicerStyleLight3" rowHeight="241300"/>
  <slicer name="Product" xr10:uid="{2C1C964C-5AF6-49BC-8C73-066A7CF986EB}" cache="Slicer_Product" caption="Product" columnCount="3" style="SlicerStyleLight3" rowHeight="241300"/>
  <slicer name="Region" xr10:uid="{DE71CBBF-CD83-482A-B8D5-98BCF0DFCBA7}" cache="Slicer_Region" caption="Region" startItem="5"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A5F4C-1371-4436-AF28-704E3ABE4C6D}" name="Table1" displayName="Table1" ref="A1:P79" totalsRowShown="0" headerRowDxfId="98">
  <autoFilter ref="A1:P79" xr:uid="{9BEA5F4C-1371-4436-AF28-704E3ABE4C6D}"/>
  <tableColumns count="16">
    <tableColumn id="1" xr3:uid="{7D388868-E73C-493F-AB52-C39D585E4350}" name="Order_ID"/>
    <tableColumn id="2" xr3:uid="{E16E876C-2AF5-4929-9E19-F6F8D943E9CB}" name="Order_Date" dataDxfId="97"/>
    <tableColumn id="3" xr3:uid="{510E0E07-E6F6-4503-89EB-9B76FB0A1743}" name="Customer"/>
    <tableColumn id="4" xr3:uid="{FBD9BB61-4099-4A5F-8C79-CF19BE3CF69B}" name="Product"/>
    <tableColumn id="5" xr3:uid="{BF07BCF2-C37E-487E-BA1D-52C3205F24B0}" name="Category"/>
    <tableColumn id="6" xr3:uid="{75A1BF60-E57F-43FD-9FF2-3DFBC54E1035}" name="Region"/>
    <tableColumn id="7" xr3:uid="{37FC5855-27A5-4737-B03A-BA2A51B9BDA9}" name="Quantity"/>
    <tableColumn id="8" xr3:uid="{57C87BBA-8493-4F6B-9810-3201CDC2850F}" name="Unit_Price"/>
    <tableColumn id="9" xr3:uid="{010D7E92-C3EB-42DD-A81C-C851F8FBACF7}" name="Discount_%"/>
    <tableColumn id="10" xr3:uid="{EAD14F15-C565-43E5-A0F5-E1852259AF4C}" name="Payment_Mode"/>
    <tableColumn id="11" xr3:uid="{157EA8DE-B203-4869-BB27-66C22D9B964B}" name="Sales"/>
    <tableColumn id="12" xr3:uid="{594A2BA2-4451-42D8-9904-E6592D4CF182}" name="Cost"/>
    <tableColumn id="13" xr3:uid="{2D5D0C54-19C8-4E71-BD6C-47BF2DD74C17}" name="Profit"/>
    <tableColumn id="14" xr3:uid="{72BC4890-EBA5-4E82-9235-04C493EA58AD}" name="Month">
      <calculatedColumnFormula>TEXT(B2,"mmm")</calculatedColumnFormula>
    </tableColumn>
    <tableColumn id="15" xr3:uid="{5D832B19-194C-4C92-83D0-2F1C60D7DBFB}" name="Month_No">
      <calculatedColumnFormula>MONTH(B2)</calculatedColumnFormula>
    </tableColumn>
    <tableColumn id="16" xr3:uid="{51BC3592-AA39-4795-BC4F-E0D530DE6726}" name="Profit_Margin_%" dataDxfId="96" dataCellStyle="Percent">
      <calculatedColumnFormula>M2/K2*100</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FDE4-358B-48BC-A2AC-48A4AE9456FC}">
  <dimension ref="A3:I57"/>
  <sheetViews>
    <sheetView workbookViewId="0"/>
  </sheetViews>
  <sheetFormatPr defaultRowHeight="15" x14ac:dyDescent="0.25"/>
  <cols>
    <col min="1" max="1" width="13.140625" bestFit="1" customWidth="1"/>
    <col min="2" max="2" width="12.140625" style="8" bestFit="1" customWidth="1"/>
    <col min="3" max="3" width="12.5703125" bestFit="1" customWidth="1"/>
    <col min="4" max="4" width="13.140625" bestFit="1" customWidth="1"/>
    <col min="5" max="5" width="12.140625" style="8" bestFit="1" customWidth="1"/>
    <col min="6" max="6" width="15.42578125" bestFit="1" customWidth="1"/>
    <col min="7" max="7" width="13.140625" bestFit="1" customWidth="1"/>
    <col min="8" max="8" width="12.140625" bestFit="1" customWidth="1"/>
    <col min="9" max="9" width="12.5703125" bestFit="1" customWidth="1"/>
  </cols>
  <sheetData>
    <row r="3" spans="1:9" x14ac:dyDescent="0.25">
      <c r="A3" s="6" t="s">
        <v>189</v>
      </c>
      <c r="B3" s="8" t="s">
        <v>197</v>
      </c>
      <c r="D3" s="6" t="s">
        <v>189</v>
      </c>
      <c r="E3" s="8" t="s">
        <v>197</v>
      </c>
      <c r="G3" s="6" t="s">
        <v>189</v>
      </c>
      <c r="H3" s="8" t="s">
        <v>197</v>
      </c>
    </row>
    <row r="4" spans="1:9" x14ac:dyDescent="0.25">
      <c r="A4" s="7" t="s">
        <v>190</v>
      </c>
      <c r="B4" s="8">
        <v>177447.65</v>
      </c>
      <c r="D4" s="7" t="s">
        <v>176</v>
      </c>
      <c r="E4" s="8">
        <v>650732.74999999977</v>
      </c>
      <c r="G4" s="7" t="s">
        <v>174</v>
      </c>
      <c r="H4" s="8">
        <v>237219.50000000006</v>
      </c>
    </row>
    <row r="5" spans="1:9" x14ac:dyDescent="0.25">
      <c r="A5" s="7" t="s">
        <v>191</v>
      </c>
      <c r="B5" s="8">
        <v>662610.15</v>
      </c>
      <c r="D5" s="7" t="s">
        <v>175</v>
      </c>
      <c r="E5" s="8">
        <v>496216.65</v>
      </c>
      <c r="G5" s="7" t="s">
        <v>173</v>
      </c>
      <c r="H5" s="8">
        <v>2392145.0500000003</v>
      </c>
    </row>
    <row r="6" spans="1:9" x14ac:dyDescent="0.25">
      <c r="A6" s="7" t="s">
        <v>192</v>
      </c>
      <c r="B6" s="8">
        <v>411976.65</v>
      </c>
      <c r="D6" s="7" t="s">
        <v>178</v>
      </c>
      <c r="E6" s="8">
        <v>616273.75</v>
      </c>
      <c r="G6" s="7" t="s">
        <v>196</v>
      </c>
      <c r="H6" s="8">
        <v>2629364.5500000003</v>
      </c>
    </row>
    <row r="7" spans="1:9" x14ac:dyDescent="0.25">
      <c r="A7" s="7" t="s">
        <v>193</v>
      </c>
      <c r="B7" s="8">
        <v>496053.4</v>
      </c>
      <c r="D7" s="7" t="s">
        <v>199</v>
      </c>
      <c r="E7" s="8">
        <v>6420.1</v>
      </c>
    </row>
    <row r="8" spans="1:9" x14ac:dyDescent="0.25">
      <c r="A8" s="7" t="s">
        <v>194</v>
      </c>
      <c r="B8" s="8">
        <v>265665.5</v>
      </c>
      <c r="D8" s="7" t="s">
        <v>185</v>
      </c>
      <c r="E8" s="8">
        <v>1166.2</v>
      </c>
    </row>
    <row r="9" spans="1:9" x14ac:dyDescent="0.25">
      <c r="A9" s="7" t="s">
        <v>195</v>
      </c>
      <c r="B9" s="8">
        <v>615611.19999999995</v>
      </c>
      <c r="D9" s="7" t="s">
        <v>177</v>
      </c>
      <c r="E9" s="8">
        <v>858555.1</v>
      </c>
    </row>
    <row r="10" spans="1:9" x14ac:dyDescent="0.25">
      <c r="A10" s="7" t="s">
        <v>196</v>
      </c>
      <c r="B10" s="8">
        <v>2629364.5499999998</v>
      </c>
      <c r="D10" s="7" t="s">
        <v>196</v>
      </c>
      <c r="E10" s="8">
        <v>2629364.5499999998</v>
      </c>
    </row>
    <row r="11" spans="1:9" x14ac:dyDescent="0.25">
      <c r="E11"/>
    </row>
    <row r="12" spans="1:9" x14ac:dyDescent="0.25">
      <c r="E12"/>
    </row>
    <row r="13" spans="1:9" x14ac:dyDescent="0.25">
      <c r="A13" s="6" t="s">
        <v>189</v>
      </c>
      <c r="B13" t="s">
        <v>197</v>
      </c>
      <c r="C13" t="s">
        <v>198</v>
      </c>
      <c r="E13" s="6" t="s">
        <v>189</v>
      </c>
      <c r="F13" s="8" t="s">
        <v>200</v>
      </c>
      <c r="H13" s="8" t="s">
        <v>197</v>
      </c>
    </row>
    <row r="14" spans="1:9" x14ac:dyDescent="0.25">
      <c r="A14" s="7" t="s">
        <v>176</v>
      </c>
      <c r="B14" s="8">
        <v>650732.74999999977</v>
      </c>
      <c r="C14" s="8">
        <v>195442.47999999992</v>
      </c>
      <c r="E14" s="7" t="s">
        <v>172</v>
      </c>
      <c r="F14" s="8">
        <v>1</v>
      </c>
      <c r="H14" s="8">
        <v>2629364.5499999998</v>
      </c>
      <c r="I14" s="8">
        <f>GETPIVOTDATA("Sales",$H$13)</f>
        <v>2629364.5499999998</v>
      </c>
    </row>
    <row r="15" spans="1:9" x14ac:dyDescent="0.25">
      <c r="A15" s="7" t="s">
        <v>175</v>
      </c>
      <c r="B15" s="8">
        <v>496216.65</v>
      </c>
      <c r="C15" s="8">
        <v>162816.98000000004</v>
      </c>
      <c r="E15" s="7" t="s">
        <v>171</v>
      </c>
      <c r="F15" s="8">
        <v>30</v>
      </c>
    </row>
    <row r="16" spans="1:9" x14ac:dyDescent="0.25">
      <c r="A16" s="7" t="s">
        <v>178</v>
      </c>
      <c r="B16" s="8">
        <v>616273.75</v>
      </c>
      <c r="C16" s="8">
        <v>196283.07</v>
      </c>
      <c r="E16" s="7" t="s">
        <v>169</v>
      </c>
      <c r="F16" s="8">
        <v>32</v>
      </c>
    </row>
    <row r="17" spans="1:9" x14ac:dyDescent="0.25">
      <c r="A17" s="7" t="s">
        <v>185</v>
      </c>
      <c r="B17" s="8">
        <v>1166.2</v>
      </c>
      <c r="C17" s="8">
        <v>405.15</v>
      </c>
      <c r="E17" s="7" t="s">
        <v>168</v>
      </c>
      <c r="F17" s="8">
        <v>39</v>
      </c>
      <c r="H17" s="8" t="s">
        <v>198</v>
      </c>
    </row>
    <row r="18" spans="1:9" x14ac:dyDescent="0.25">
      <c r="A18" s="7" t="s">
        <v>177</v>
      </c>
      <c r="B18" s="8">
        <v>858555.1</v>
      </c>
      <c r="C18" s="8">
        <v>222648.75</v>
      </c>
      <c r="E18" s="7" t="s">
        <v>170</v>
      </c>
      <c r="F18" s="8">
        <v>51</v>
      </c>
      <c r="H18" s="8">
        <v>780003.52000000025</v>
      </c>
      <c r="I18" s="8">
        <f>GETPIVOTDATA("Profit",$H$17)</f>
        <v>780003.52000000025</v>
      </c>
    </row>
    <row r="19" spans="1:9" x14ac:dyDescent="0.25">
      <c r="A19" s="7" t="s">
        <v>199</v>
      </c>
      <c r="B19" s="8">
        <v>6420.1</v>
      </c>
      <c r="C19" s="8">
        <v>2407.09</v>
      </c>
      <c r="E19" s="7" t="s">
        <v>167</v>
      </c>
      <c r="F19" s="8">
        <v>66</v>
      </c>
    </row>
    <row r="20" spans="1:9" x14ac:dyDescent="0.25">
      <c r="A20" s="7" t="s">
        <v>196</v>
      </c>
      <c r="B20" s="8">
        <v>2629364.5499999998</v>
      </c>
      <c r="C20" s="8">
        <v>780003.52</v>
      </c>
      <c r="E20" s="7" t="s">
        <v>196</v>
      </c>
      <c r="F20" s="8">
        <v>219</v>
      </c>
    </row>
    <row r="21" spans="1:9" x14ac:dyDescent="0.25">
      <c r="B21"/>
      <c r="E21"/>
      <c r="H21" s="8" t="s">
        <v>201</v>
      </c>
    </row>
    <row r="22" spans="1:9" x14ac:dyDescent="0.25">
      <c r="A22" s="6" t="s">
        <v>189</v>
      </c>
      <c r="B22" s="8" t="s">
        <v>201</v>
      </c>
      <c r="D22" s="6" t="s">
        <v>189</v>
      </c>
      <c r="E22" s="8" t="s">
        <v>197</v>
      </c>
      <c r="H22" s="8">
        <v>80</v>
      </c>
      <c r="I22">
        <f>GETPIVOTDATA("Order_ID",$H$21)</f>
        <v>80</v>
      </c>
    </row>
    <row r="23" spans="1:9" x14ac:dyDescent="0.25">
      <c r="A23" s="7" t="s">
        <v>190</v>
      </c>
      <c r="B23" s="8">
        <v>14</v>
      </c>
      <c r="D23" s="7" t="s">
        <v>182</v>
      </c>
      <c r="E23" s="8">
        <v>233849.65</v>
      </c>
    </row>
    <row r="24" spans="1:9" x14ac:dyDescent="0.25">
      <c r="A24" s="7" t="s">
        <v>191</v>
      </c>
      <c r="B24" s="8">
        <v>12</v>
      </c>
      <c r="D24" s="7" t="s">
        <v>183</v>
      </c>
      <c r="E24" s="8">
        <v>47174.15</v>
      </c>
      <c r="H24" s="8" t="s">
        <v>200</v>
      </c>
    </row>
    <row r="25" spans="1:9" x14ac:dyDescent="0.25">
      <c r="A25" s="7" t="s">
        <v>192</v>
      </c>
      <c r="B25" s="8">
        <v>14</v>
      </c>
      <c r="D25" s="7" t="s">
        <v>179</v>
      </c>
      <c r="E25" s="8">
        <v>549002.25</v>
      </c>
      <c r="H25" s="8">
        <v>219</v>
      </c>
      <c r="I25">
        <f>GETPIVOTDATA("Quantity",$H$24)</f>
        <v>219</v>
      </c>
    </row>
    <row r="26" spans="1:9" x14ac:dyDescent="0.25">
      <c r="A26" s="7" t="s">
        <v>193</v>
      </c>
      <c r="B26" s="8">
        <v>13</v>
      </c>
      <c r="D26" s="7" t="s">
        <v>181</v>
      </c>
      <c r="E26" s="8">
        <v>940255</v>
      </c>
    </row>
    <row r="27" spans="1:9" x14ac:dyDescent="0.25">
      <c r="A27" s="7" t="s">
        <v>194</v>
      </c>
      <c r="B27" s="8">
        <v>14</v>
      </c>
      <c r="D27" s="7" t="s">
        <v>180</v>
      </c>
      <c r="E27" s="8">
        <v>859083.49999999988</v>
      </c>
    </row>
    <row r="28" spans="1:9" x14ac:dyDescent="0.25">
      <c r="A28" s="7" t="s">
        <v>195</v>
      </c>
      <c r="B28" s="8">
        <v>13</v>
      </c>
      <c r="D28" s="7" t="s">
        <v>196</v>
      </c>
      <c r="E28" s="8">
        <v>2629364.5499999998</v>
      </c>
    </row>
    <row r="29" spans="1:9" x14ac:dyDescent="0.25">
      <c r="A29" s="7" t="s">
        <v>196</v>
      </c>
      <c r="B29" s="8">
        <v>80</v>
      </c>
      <c r="E29"/>
    </row>
    <row r="30" spans="1:9" x14ac:dyDescent="0.25">
      <c r="B30"/>
      <c r="E30"/>
    </row>
    <row r="31" spans="1:9" x14ac:dyDescent="0.25">
      <c r="B31"/>
      <c r="E31"/>
    </row>
    <row r="32" spans="1:9" x14ac:dyDescent="0.25">
      <c r="B32"/>
      <c r="E32"/>
    </row>
    <row r="33" spans="2:5" x14ac:dyDescent="0.25">
      <c r="B33"/>
      <c r="E33"/>
    </row>
    <row r="34" spans="2:5" x14ac:dyDescent="0.25">
      <c r="B34"/>
      <c r="E34"/>
    </row>
    <row r="35" spans="2:5" x14ac:dyDescent="0.25">
      <c r="B35"/>
      <c r="E35"/>
    </row>
    <row r="36" spans="2:5" x14ac:dyDescent="0.25">
      <c r="B36"/>
      <c r="E36"/>
    </row>
    <row r="37" spans="2:5" x14ac:dyDescent="0.25">
      <c r="B37"/>
      <c r="E37"/>
    </row>
    <row r="38" spans="2:5" x14ac:dyDescent="0.25">
      <c r="B38"/>
      <c r="E38"/>
    </row>
    <row r="39" spans="2:5" x14ac:dyDescent="0.25">
      <c r="B39"/>
      <c r="E39"/>
    </row>
    <row r="40" spans="2:5" x14ac:dyDescent="0.25">
      <c r="B40"/>
      <c r="E40"/>
    </row>
    <row r="41" spans="2:5" x14ac:dyDescent="0.25">
      <c r="B41"/>
      <c r="E41"/>
    </row>
    <row r="42" spans="2:5" x14ac:dyDescent="0.25">
      <c r="B42"/>
      <c r="E42"/>
    </row>
    <row r="43" spans="2:5" x14ac:dyDescent="0.25">
      <c r="B43"/>
      <c r="E43"/>
    </row>
    <row r="44" spans="2:5" x14ac:dyDescent="0.25">
      <c r="B44"/>
      <c r="E44"/>
    </row>
    <row r="45" spans="2:5" x14ac:dyDescent="0.25">
      <c r="B45"/>
      <c r="E45"/>
    </row>
    <row r="46" spans="2:5" x14ac:dyDescent="0.25">
      <c r="B46"/>
      <c r="E46"/>
    </row>
    <row r="47" spans="2:5" x14ac:dyDescent="0.25">
      <c r="B47"/>
      <c r="E47"/>
    </row>
    <row r="48" spans="2:5" x14ac:dyDescent="0.25">
      <c r="B48"/>
      <c r="E48"/>
    </row>
    <row r="49" spans="2:5" x14ac:dyDescent="0.25">
      <c r="B49"/>
      <c r="E49"/>
    </row>
    <row r="50" spans="2:5" x14ac:dyDescent="0.25">
      <c r="B50"/>
      <c r="E50"/>
    </row>
    <row r="51" spans="2:5" x14ac:dyDescent="0.25">
      <c r="B51"/>
      <c r="E51"/>
    </row>
    <row r="52" spans="2:5" x14ac:dyDescent="0.25">
      <c r="B52"/>
      <c r="E52"/>
    </row>
    <row r="53" spans="2:5" x14ac:dyDescent="0.25">
      <c r="B53"/>
      <c r="E53"/>
    </row>
    <row r="54" spans="2:5" x14ac:dyDescent="0.25">
      <c r="B54"/>
    </row>
    <row r="55" spans="2:5" x14ac:dyDescent="0.25">
      <c r="B55"/>
    </row>
    <row r="56" spans="2:5" x14ac:dyDescent="0.25">
      <c r="B56"/>
    </row>
    <row r="57" spans="2:5" x14ac:dyDescent="0.25">
      <c r="B57"/>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D0FA-4FB1-46B2-9165-A92025E679A4}">
  <dimension ref="U31"/>
  <sheetViews>
    <sheetView showGridLines="0" tabSelected="1" topLeftCell="A4" zoomScaleNormal="100" workbookViewId="0"/>
  </sheetViews>
  <sheetFormatPr defaultRowHeight="15" x14ac:dyDescent="0.25"/>
  <sheetData>
    <row r="31" spans="21:21" ht="21" x14ac:dyDescent="0.35">
      <c r="U31"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9"/>
  <sheetViews>
    <sheetView topLeftCell="A70" workbookViewId="0"/>
  </sheetViews>
  <sheetFormatPr defaultRowHeight="15" x14ac:dyDescent="0.25"/>
  <cols>
    <col min="1" max="1" width="11.140625" customWidth="1"/>
    <col min="2" max="2" width="21.140625" customWidth="1"/>
    <col min="3" max="3" width="11.7109375" customWidth="1"/>
    <col min="4" max="4" width="10" customWidth="1"/>
    <col min="5" max="5" width="11" customWidth="1"/>
    <col min="6" max="6" width="9.28515625" customWidth="1"/>
    <col min="7" max="7" width="10.85546875" customWidth="1"/>
    <col min="8" max="8" width="12.42578125" customWidth="1"/>
    <col min="9" max="9" width="13.42578125" customWidth="1"/>
    <col min="10" max="10" width="17.28515625" customWidth="1"/>
    <col min="14" max="14" width="10.42578125" customWidth="1"/>
    <col min="15" max="15" width="12.7109375" customWidth="1"/>
    <col min="16" max="16" width="18"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4" t="s">
        <v>186</v>
      </c>
      <c r="O1" s="4" t="s">
        <v>187</v>
      </c>
      <c r="P1" s="4" t="s">
        <v>188</v>
      </c>
    </row>
    <row r="2" spans="1:16" x14ac:dyDescent="0.25">
      <c r="A2" t="s">
        <v>13</v>
      </c>
      <c r="B2" s="2">
        <v>46023</v>
      </c>
      <c r="C2" t="s">
        <v>91</v>
      </c>
      <c r="D2" t="s">
        <v>167</v>
      </c>
      <c r="E2" t="s">
        <v>173</v>
      </c>
      <c r="F2" t="s">
        <v>175</v>
      </c>
      <c r="G2">
        <v>3</v>
      </c>
      <c r="H2">
        <v>13962</v>
      </c>
      <c r="I2">
        <v>0</v>
      </c>
      <c r="J2" t="s">
        <v>179</v>
      </c>
      <c r="K2">
        <v>41886</v>
      </c>
      <c r="L2">
        <v>28238.14</v>
      </c>
      <c r="M2">
        <v>13647.86</v>
      </c>
      <c r="N2" t="str">
        <f t="shared" ref="N2:N33" si="0">TEXT(B2,"mmm")</f>
        <v>Jan</v>
      </c>
      <c r="O2">
        <f t="shared" ref="O2:O33" si="1">MONTH(B2)</f>
        <v>1</v>
      </c>
      <c r="P2" s="5">
        <f>M2/K2*100</f>
        <v>32.58334527049611</v>
      </c>
    </row>
    <row r="3" spans="1:16" x14ac:dyDescent="0.25">
      <c r="A3" t="s">
        <v>14</v>
      </c>
      <c r="B3" s="2">
        <v>46025.278481012647</v>
      </c>
      <c r="C3" t="s">
        <v>92</v>
      </c>
      <c r="D3" t="s">
        <v>168</v>
      </c>
      <c r="E3" t="s">
        <v>174</v>
      </c>
      <c r="F3" t="s">
        <v>175</v>
      </c>
      <c r="G3">
        <v>1</v>
      </c>
      <c r="H3">
        <v>3480</v>
      </c>
      <c r="I3">
        <v>5</v>
      </c>
      <c r="J3" t="s">
        <v>180</v>
      </c>
      <c r="K3">
        <v>3306</v>
      </c>
      <c r="L3">
        <v>2339.9699999999998</v>
      </c>
      <c r="M3">
        <v>966.03</v>
      </c>
      <c r="N3" t="str">
        <f t="shared" si="0"/>
        <v>Jan</v>
      </c>
      <c r="O3">
        <f t="shared" si="1"/>
        <v>1</v>
      </c>
      <c r="P3" s="5">
        <f t="shared" ref="P3:P64" si="2">M3/K3*100</f>
        <v>29.220508166969143</v>
      </c>
    </row>
    <row r="4" spans="1:16" x14ac:dyDescent="0.25">
      <c r="A4" t="s">
        <v>15</v>
      </c>
      <c r="B4" s="2">
        <v>46032.113924050624</v>
      </c>
      <c r="C4" t="s">
        <v>93</v>
      </c>
      <c r="D4" t="s">
        <v>168</v>
      </c>
      <c r="E4" t="s">
        <v>174</v>
      </c>
      <c r="F4" t="s">
        <v>175</v>
      </c>
      <c r="G4">
        <v>4</v>
      </c>
      <c r="H4">
        <v>3197</v>
      </c>
      <c r="I4">
        <v>10</v>
      </c>
      <c r="J4" t="s">
        <v>180</v>
      </c>
      <c r="K4">
        <v>11509.2</v>
      </c>
      <c r="L4">
        <v>9351.57</v>
      </c>
      <c r="M4">
        <v>2157.63</v>
      </c>
      <c r="N4" t="str">
        <f t="shared" si="0"/>
        <v>Jan</v>
      </c>
      <c r="O4">
        <f t="shared" si="1"/>
        <v>1</v>
      </c>
      <c r="P4" s="5">
        <f t="shared" si="2"/>
        <v>18.747002398081534</v>
      </c>
    </row>
    <row r="5" spans="1:16" x14ac:dyDescent="0.25">
      <c r="A5" t="s">
        <v>16</v>
      </c>
      <c r="B5" s="2">
        <v>46034.392405063278</v>
      </c>
      <c r="C5" t="s">
        <v>94</v>
      </c>
      <c r="D5" t="s">
        <v>170</v>
      </c>
      <c r="E5" t="s">
        <v>174</v>
      </c>
      <c r="F5" t="s">
        <v>175</v>
      </c>
      <c r="G5">
        <v>5</v>
      </c>
      <c r="H5">
        <v>1276</v>
      </c>
      <c r="I5">
        <v>5</v>
      </c>
      <c r="J5" t="s">
        <v>181</v>
      </c>
      <c r="K5">
        <v>6061</v>
      </c>
      <c r="L5">
        <v>4771.2</v>
      </c>
      <c r="M5">
        <v>1289.8</v>
      </c>
      <c r="N5" t="str">
        <f t="shared" si="0"/>
        <v>Jan</v>
      </c>
      <c r="O5">
        <f t="shared" si="1"/>
        <v>1</v>
      </c>
      <c r="P5" s="5">
        <f t="shared" si="2"/>
        <v>21.28031677940934</v>
      </c>
    </row>
    <row r="6" spans="1:16" x14ac:dyDescent="0.25">
      <c r="A6" t="s">
        <v>17</v>
      </c>
      <c r="B6" s="2">
        <v>46036.670886075954</v>
      </c>
      <c r="C6" t="s">
        <v>95</v>
      </c>
      <c r="D6" t="s">
        <v>169</v>
      </c>
      <c r="E6" t="s">
        <v>174</v>
      </c>
      <c r="F6" t="s">
        <v>175</v>
      </c>
      <c r="G6">
        <v>1</v>
      </c>
      <c r="H6">
        <v>2503</v>
      </c>
      <c r="I6">
        <v>0</v>
      </c>
      <c r="J6" t="s">
        <v>180</v>
      </c>
      <c r="K6">
        <v>2503</v>
      </c>
      <c r="L6">
        <v>1900.26</v>
      </c>
      <c r="M6">
        <v>602.74</v>
      </c>
      <c r="N6" t="str">
        <f t="shared" si="0"/>
        <v>Jan</v>
      </c>
      <c r="O6">
        <f t="shared" si="1"/>
        <v>1</v>
      </c>
      <c r="P6" s="5">
        <f t="shared" si="2"/>
        <v>24.080703156212547</v>
      </c>
    </row>
    <row r="7" spans="1:16" x14ac:dyDescent="0.25">
      <c r="A7" t="s">
        <v>18</v>
      </c>
      <c r="B7" s="2">
        <v>46038.9493670886</v>
      </c>
      <c r="C7" t="s">
        <v>96</v>
      </c>
      <c r="D7" t="s">
        <v>169</v>
      </c>
      <c r="E7" t="s">
        <v>174</v>
      </c>
      <c r="F7" t="s">
        <v>176</v>
      </c>
      <c r="G7">
        <v>1</v>
      </c>
      <c r="H7">
        <v>2391</v>
      </c>
      <c r="I7">
        <v>15</v>
      </c>
      <c r="J7" t="s">
        <v>181</v>
      </c>
      <c r="K7">
        <v>2032.35</v>
      </c>
      <c r="L7">
        <v>1426.28</v>
      </c>
      <c r="M7">
        <v>606.07000000000005</v>
      </c>
      <c r="N7" t="str">
        <f t="shared" si="0"/>
        <v>Jan</v>
      </c>
      <c r="O7">
        <f t="shared" si="1"/>
        <v>1</v>
      </c>
      <c r="P7" s="5">
        <f t="shared" si="2"/>
        <v>29.82114301178439</v>
      </c>
    </row>
    <row r="8" spans="1:16" x14ac:dyDescent="0.25">
      <c r="A8" t="s">
        <v>19</v>
      </c>
      <c r="B8" s="2">
        <v>46041.227848101262</v>
      </c>
      <c r="C8" t="s">
        <v>97</v>
      </c>
      <c r="D8" t="s">
        <v>169</v>
      </c>
      <c r="E8" t="s">
        <v>174</v>
      </c>
      <c r="F8" t="s">
        <v>175</v>
      </c>
      <c r="G8">
        <v>3</v>
      </c>
      <c r="H8">
        <v>2134</v>
      </c>
      <c r="I8">
        <v>0</v>
      </c>
      <c r="J8" t="s">
        <v>180</v>
      </c>
      <c r="K8">
        <v>6402</v>
      </c>
      <c r="L8">
        <v>4191.13</v>
      </c>
      <c r="M8">
        <v>2210.87</v>
      </c>
      <c r="N8" t="str">
        <f t="shared" si="0"/>
        <v>Jan</v>
      </c>
      <c r="O8">
        <f t="shared" si="1"/>
        <v>1</v>
      </c>
      <c r="P8" s="5">
        <f t="shared" si="2"/>
        <v>34.534051858794122</v>
      </c>
    </row>
    <row r="9" spans="1:16" x14ac:dyDescent="0.25">
      <c r="A9" t="s">
        <v>20</v>
      </c>
      <c r="B9" s="2">
        <v>46043.506329113923</v>
      </c>
      <c r="C9" t="s">
        <v>98</v>
      </c>
      <c r="D9" t="s">
        <v>168</v>
      </c>
      <c r="E9" t="s">
        <v>174</v>
      </c>
      <c r="F9" t="s">
        <v>177</v>
      </c>
      <c r="G9">
        <v>2</v>
      </c>
      <c r="H9">
        <v>2994</v>
      </c>
      <c r="I9">
        <v>15</v>
      </c>
      <c r="J9" t="s">
        <v>179</v>
      </c>
      <c r="K9">
        <v>5089.8</v>
      </c>
      <c r="L9">
        <v>3314.92</v>
      </c>
      <c r="M9">
        <v>1774.88</v>
      </c>
      <c r="N9" t="str">
        <f t="shared" si="0"/>
        <v>Jan</v>
      </c>
      <c r="O9">
        <f t="shared" si="1"/>
        <v>1</v>
      </c>
      <c r="P9" s="5">
        <f t="shared" si="2"/>
        <v>34.871311249950878</v>
      </c>
    </row>
    <row r="10" spans="1:16" x14ac:dyDescent="0.25">
      <c r="A10" t="s">
        <v>21</v>
      </c>
      <c r="B10" s="2">
        <v>46045.784810126577</v>
      </c>
      <c r="C10" t="s">
        <v>99</v>
      </c>
      <c r="D10" t="s">
        <v>167</v>
      </c>
      <c r="E10" t="s">
        <v>173</v>
      </c>
      <c r="F10" t="s">
        <v>175</v>
      </c>
      <c r="G10">
        <v>5</v>
      </c>
      <c r="H10">
        <v>14200</v>
      </c>
      <c r="I10">
        <v>5</v>
      </c>
      <c r="J10" t="s">
        <v>179</v>
      </c>
      <c r="K10">
        <v>67450</v>
      </c>
      <c r="L10">
        <v>45194.78</v>
      </c>
      <c r="M10">
        <v>22255.22</v>
      </c>
      <c r="N10" t="str">
        <f t="shared" si="0"/>
        <v>Jan</v>
      </c>
      <c r="O10">
        <f t="shared" si="1"/>
        <v>1</v>
      </c>
      <c r="P10" s="5">
        <f t="shared" si="2"/>
        <v>32.995137138621203</v>
      </c>
    </row>
    <row r="11" spans="1:16" x14ac:dyDescent="0.25">
      <c r="A11" t="s">
        <v>22</v>
      </c>
      <c r="B11" s="2">
        <v>46048.063291139239</v>
      </c>
      <c r="C11" t="s">
        <v>100</v>
      </c>
      <c r="D11" t="s">
        <v>169</v>
      </c>
      <c r="E11" t="s">
        <v>174</v>
      </c>
      <c r="F11" t="s">
        <v>177</v>
      </c>
      <c r="G11">
        <v>4</v>
      </c>
      <c r="H11">
        <v>2639</v>
      </c>
      <c r="I11">
        <v>10</v>
      </c>
      <c r="J11" t="s">
        <v>182</v>
      </c>
      <c r="K11">
        <v>9500.4</v>
      </c>
      <c r="L11">
        <v>6933.82</v>
      </c>
      <c r="M11">
        <v>2566.58</v>
      </c>
      <c r="N11" t="str">
        <f t="shared" si="0"/>
        <v>Jan</v>
      </c>
      <c r="O11">
        <f t="shared" si="1"/>
        <v>1</v>
      </c>
      <c r="P11" s="5">
        <f t="shared" si="2"/>
        <v>27.015494084459601</v>
      </c>
    </row>
    <row r="12" spans="1:16" x14ac:dyDescent="0.25">
      <c r="A12" t="s">
        <v>23</v>
      </c>
      <c r="B12" s="2">
        <v>46050.3417721519</v>
      </c>
      <c r="C12" t="s">
        <v>101</v>
      </c>
      <c r="D12" t="s">
        <v>168</v>
      </c>
      <c r="E12" t="s">
        <v>174</v>
      </c>
      <c r="F12" t="s">
        <v>177</v>
      </c>
      <c r="G12">
        <v>2</v>
      </c>
      <c r="H12">
        <v>2832</v>
      </c>
      <c r="I12">
        <v>0</v>
      </c>
      <c r="J12" t="s">
        <v>181</v>
      </c>
      <c r="K12">
        <v>5664</v>
      </c>
      <c r="L12">
        <v>4321.17</v>
      </c>
      <c r="M12">
        <v>1342.83</v>
      </c>
      <c r="N12" t="str">
        <f t="shared" si="0"/>
        <v>Jan</v>
      </c>
      <c r="O12">
        <f t="shared" si="1"/>
        <v>1</v>
      </c>
      <c r="P12" s="5">
        <f t="shared" si="2"/>
        <v>23.708156779661017</v>
      </c>
    </row>
    <row r="13" spans="1:16" x14ac:dyDescent="0.25">
      <c r="A13" t="s">
        <v>24</v>
      </c>
      <c r="B13" s="2">
        <v>46052.620253164547</v>
      </c>
      <c r="C13" t="s">
        <v>102</v>
      </c>
      <c r="D13" t="s">
        <v>170</v>
      </c>
      <c r="E13" t="s">
        <v>174</v>
      </c>
      <c r="F13" t="s">
        <v>177</v>
      </c>
      <c r="G13">
        <v>4</v>
      </c>
      <c r="H13">
        <v>1687</v>
      </c>
      <c r="I13">
        <v>15</v>
      </c>
      <c r="J13" t="s">
        <v>182</v>
      </c>
      <c r="K13">
        <v>5735.8</v>
      </c>
      <c r="L13">
        <v>4313.55</v>
      </c>
      <c r="M13">
        <v>1422.25</v>
      </c>
      <c r="N13" t="str">
        <f t="shared" si="0"/>
        <v>Jan</v>
      </c>
      <c r="O13">
        <f t="shared" si="1"/>
        <v>1</v>
      </c>
      <c r="P13" s="5">
        <f t="shared" si="2"/>
        <v>24.796017992259141</v>
      </c>
    </row>
    <row r="14" spans="1:16" x14ac:dyDescent="0.25">
      <c r="A14" t="s">
        <v>25</v>
      </c>
      <c r="B14" s="2">
        <v>46054.898734177208</v>
      </c>
      <c r="C14" t="s">
        <v>103</v>
      </c>
      <c r="D14" t="s">
        <v>167</v>
      </c>
      <c r="E14" t="s">
        <v>173</v>
      </c>
      <c r="F14" t="s">
        <v>176</v>
      </c>
      <c r="G14">
        <v>3</v>
      </c>
      <c r="H14">
        <v>14259</v>
      </c>
      <c r="I14">
        <v>0</v>
      </c>
      <c r="J14" t="s">
        <v>182</v>
      </c>
      <c r="K14">
        <v>42777</v>
      </c>
      <c r="L14">
        <v>28916.69</v>
      </c>
      <c r="M14">
        <v>13860.31</v>
      </c>
      <c r="N14" t="str">
        <f t="shared" si="0"/>
        <v>Feb</v>
      </c>
      <c r="O14">
        <f t="shared" si="1"/>
        <v>2</v>
      </c>
      <c r="P14" s="5">
        <f t="shared" si="2"/>
        <v>32.401313790120852</v>
      </c>
    </row>
    <row r="15" spans="1:16" x14ac:dyDescent="0.25">
      <c r="A15" t="s">
        <v>26</v>
      </c>
      <c r="B15" s="2">
        <v>46057.177215189869</v>
      </c>
      <c r="C15" t="s">
        <v>184</v>
      </c>
      <c r="D15" t="s">
        <v>170</v>
      </c>
      <c r="E15" t="s">
        <v>174</v>
      </c>
      <c r="F15" t="s">
        <v>176</v>
      </c>
      <c r="G15">
        <v>3</v>
      </c>
      <c r="H15">
        <v>1469</v>
      </c>
      <c r="I15">
        <v>15</v>
      </c>
      <c r="J15" t="s">
        <v>180</v>
      </c>
      <c r="K15">
        <v>3745.95</v>
      </c>
      <c r="L15">
        <v>3037.86</v>
      </c>
      <c r="M15">
        <v>708.09</v>
      </c>
      <c r="N15" t="str">
        <f t="shared" si="0"/>
        <v>Feb</v>
      </c>
      <c r="O15">
        <f t="shared" si="1"/>
        <v>2</v>
      </c>
      <c r="P15" s="5">
        <f t="shared" si="2"/>
        <v>18.902815040243464</v>
      </c>
    </row>
    <row r="16" spans="1:16" x14ac:dyDescent="0.25">
      <c r="A16" t="s">
        <v>27</v>
      </c>
      <c r="B16" s="2">
        <v>46059.455696202524</v>
      </c>
      <c r="C16" t="s">
        <v>104</v>
      </c>
      <c r="D16" t="s">
        <v>167</v>
      </c>
      <c r="E16" t="s">
        <v>173</v>
      </c>
      <c r="F16" t="s">
        <v>176</v>
      </c>
      <c r="G16">
        <v>1</v>
      </c>
      <c r="H16">
        <v>14174</v>
      </c>
      <c r="I16">
        <v>0</v>
      </c>
      <c r="J16" t="s">
        <v>182</v>
      </c>
      <c r="K16">
        <v>14174</v>
      </c>
      <c r="L16">
        <v>10879.67</v>
      </c>
      <c r="M16">
        <v>3294.33</v>
      </c>
      <c r="N16" t="str">
        <f t="shared" si="0"/>
        <v>Feb</v>
      </c>
      <c r="O16">
        <f t="shared" si="1"/>
        <v>2</v>
      </c>
      <c r="P16" s="5">
        <f t="shared" si="2"/>
        <v>23.242062932129251</v>
      </c>
    </row>
    <row r="17" spans="1:16" x14ac:dyDescent="0.25">
      <c r="A17" t="s">
        <v>28</v>
      </c>
      <c r="B17" s="2">
        <v>46061.734177215178</v>
      </c>
      <c r="C17" t="s">
        <v>105</v>
      </c>
      <c r="D17" t="s">
        <v>168</v>
      </c>
      <c r="E17" t="s">
        <v>174</v>
      </c>
      <c r="F17" t="s">
        <v>175</v>
      </c>
      <c r="G17">
        <v>5</v>
      </c>
      <c r="H17">
        <v>2821</v>
      </c>
      <c r="I17">
        <v>15</v>
      </c>
      <c r="J17" t="s">
        <v>180</v>
      </c>
      <c r="K17">
        <v>11989.25</v>
      </c>
      <c r="L17">
        <v>8762.59</v>
      </c>
      <c r="M17">
        <v>3226.66</v>
      </c>
      <c r="N17" t="str">
        <f t="shared" si="0"/>
        <v>Feb</v>
      </c>
      <c r="O17">
        <f t="shared" si="1"/>
        <v>2</v>
      </c>
      <c r="P17" s="5">
        <f t="shared" si="2"/>
        <v>26.912942844631647</v>
      </c>
    </row>
    <row r="18" spans="1:16" x14ac:dyDescent="0.25">
      <c r="A18" t="s">
        <v>29</v>
      </c>
      <c r="B18" s="2">
        <v>46064.012658227854</v>
      </c>
      <c r="C18" t="s">
        <v>106</v>
      </c>
      <c r="D18" t="s">
        <v>171</v>
      </c>
      <c r="E18" t="s">
        <v>173</v>
      </c>
      <c r="F18" t="s">
        <v>177</v>
      </c>
      <c r="G18">
        <v>4</v>
      </c>
      <c r="H18">
        <v>55469</v>
      </c>
      <c r="I18">
        <v>15</v>
      </c>
      <c r="J18" t="s">
        <v>180</v>
      </c>
      <c r="K18">
        <v>188594.6</v>
      </c>
      <c r="L18">
        <v>140002.1</v>
      </c>
      <c r="M18">
        <v>48592.5</v>
      </c>
      <c r="N18" t="str">
        <f t="shared" si="0"/>
        <v>Feb</v>
      </c>
      <c r="O18">
        <f t="shared" si="1"/>
        <v>2</v>
      </c>
      <c r="P18" s="5">
        <f t="shared" si="2"/>
        <v>25.765583956274462</v>
      </c>
    </row>
    <row r="19" spans="1:16" x14ac:dyDescent="0.25">
      <c r="A19" t="s">
        <v>30</v>
      </c>
      <c r="B19" s="2">
        <v>46066.2911392405</v>
      </c>
      <c r="C19" t="s">
        <v>107</v>
      </c>
      <c r="D19" t="s">
        <v>167</v>
      </c>
      <c r="E19" t="s">
        <v>173</v>
      </c>
      <c r="F19" t="s">
        <v>176</v>
      </c>
      <c r="G19">
        <v>2</v>
      </c>
      <c r="H19">
        <v>13837</v>
      </c>
      <c r="I19">
        <v>5</v>
      </c>
      <c r="J19" t="s">
        <v>182</v>
      </c>
      <c r="K19">
        <v>26290.3</v>
      </c>
      <c r="L19">
        <v>18506.27</v>
      </c>
      <c r="M19">
        <v>7784.03</v>
      </c>
      <c r="N19" t="str">
        <f t="shared" si="0"/>
        <v>Feb</v>
      </c>
      <c r="O19">
        <f t="shared" si="1"/>
        <v>2</v>
      </c>
      <c r="P19" s="5">
        <f t="shared" si="2"/>
        <v>29.607992301343085</v>
      </c>
    </row>
    <row r="20" spans="1:16" x14ac:dyDescent="0.25">
      <c r="A20" t="s">
        <v>31</v>
      </c>
      <c r="B20" s="2">
        <v>46068.569620253162</v>
      </c>
      <c r="C20" t="s">
        <v>108</v>
      </c>
      <c r="D20" t="s">
        <v>170</v>
      </c>
      <c r="E20" t="s">
        <v>174</v>
      </c>
      <c r="F20" t="s">
        <v>176</v>
      </c>
      <c r="G20">
        <v>3</v>
      </c>
      <c r="H20">
        <v>1229</v>
      </c>
      <c r="I20">
        <v>15</v>
      </c>
      <c r="J20" t="s">
        <v>181</v>
      </c>
      <c r="K20">
        <v>3133.95</v>
      </c>
      <c r="L20">
        <v>2098.3200000000002</v>
      </c>
      <c r="M20">
        <v>1035.6300000000001</v>
      </c>
      <c r="N20" t="str">
        <f t="shared" si="0"/>
        <v>Feb</v>
      </c>
      <c r="O20">
        <f t="shared" si="1"/>
        <v>2</v>
      </c>
      <c r="P20" s="5">
        <f t="shared" si="2"/>
        <v>33.045517637486242</v>
      </c>
    </row>
    <row r="21" spans="1:16" x14ac:dyDescent="0.25">
      <c r="A21" t="s">
        <v>32</v>
      </c>
      <c r="B21" s="2">
        <v>46070.848101265823</v>
      </c>
      <c r="C21" t="s">
        <v>109</v>
      </c>
      <c r="D21" t="s">
        <v>168</v>
      </c>
      <c r="E21" t="s">
        <v>174</v>
      </c>
      <c r="F21" t="s">
        <v>175</v>
      </c>
      <c r="G21">
        <v>1</v>
      </c>
      <c r="H21">
        <v>3164</v>
      </c>
      <c r="I21">
        <v>5</v>
      </c>
      <c r="J21" t="s">
        <v>181</v>
      </c>
      <c r="K21">
        <v>3005.8</v>
      </c>
      <c r="L21">
        <v>2077.59</v>
      </c>
      <c r="M21">
        <v>928.21</v>
      </c>
      <c r="N21" t="str">
        <f t="shared" si="0"/>
        <v>Feb</v>
      </c>
      <c r="O21">
        <f t="shared" si="1"/>
        <v>2</v>
      </c>
      <c r="P21" s="5">
        <f t="shared" si="2"/>
        <v>30.880630780491046</v>
      </c>
    </row>
    <row r="22" spans="1:16" x14ac:dyDescent="0.25">
      <c r="A22" t="s">
        <v>33</v>
      </c>
      <c r="B22" s="2">
        <v>46073.12658227847</v>
      </c>
      <c r="C22" t="s">
        <v>110</v>
      </c>
      <c r="D22" t="s">
        <v>172</v>
      </c>
      <c r="E22" t="s">
        <v>173</v>
      </c>
      <c r="F22" t="s">
        <v>176</v>
      </c>
      <c r="G22">
        <v>1</v>
      </c>
      <c r="H22">
        <v>14362</v>
      </c>
      <c r="I22">
        <v>15</v>
      </c>
      <c r="J22" t="s">
        <v>181</v>
      </c>
      <c r="K22">
        <v>12207.7</v>
      </c>
      <c r="L22">
        <v>9419.09</v>
      </c>
      <c r="M22">
        <v>2788.61</v>
      </c>
      <c r="N22" t="str">
        <f t="shared" si="0"/>
        <v>Feb</v>
      </c>
      <c r="O22">
        <f t="shared" si="1"/>
        <v>2</v>
      </c>
      <c r="P22" s="5">
        <f t="shared" si="2"/>
        <v>22.843041686804231</v>
      </c>
    </row>
    <row r="23" spans="1:16" x14ac:dyDescent="0.25">
      <c r="A23" t="s">
        <v>34</v>
      </c>
      <c r="B23" s="2">
        <v>46075.405063291131</v>
      </c>
      <c r="C23" t="s">
        <v>111</v>
      </c>
      <c r="D23" t="s">
        <v>171</v>
      </c>
      <c r="E23" t="s">
        <v>173</v>
      </c>
      <c r="F23" t="s">
        <v>175</v>
      </c>
      <c r="G23">
        <v>4</v>
      </c>
      <c r="H23">
        <v>55237</v>
      </c>
      <c r="I23">
        <v>10</v>
      </c>
      <c r="J23" t="s">
        <v>181</v>
      </c>
      <c r="K23">
        <v>198853.2</v>
      </c>
      <c r="L23">
        <v>123861.42</v>
      </c>
      <c r="M23">
        <v>74991.78</v>
      </c>
      <c r="N23" t="str">
        <f t="shared" si="0"/>
        <v>Feb</v>
      </c>
      <c r="O23">
        <f t="shared" si="1"/>
        <v>2</v>
      </c>
      <c r="P23" s="5">
        <f t="shared" si="2"/>
        <v>37.712131361225268</v>
      </c>
    </row>
    <row r="24" spans="1:16" x14ac:dyDescent="0.25">
      <c r="A24" t="s">
        <v>35</v>
      </c>
      <c r="B24" s="2">
        <v>46077.6835443038</v>
      </c>
      <c r="C24" t="s">
        <v>112</v>
      </c>
      <c r="D24" t="s">
        <v>171</v>
      </c>
      <c r="E24" t="s">
        <v>173</v>
      </c>
      <c r="F24" t="s">
        <v>178</v>
      </c>
      <c r="G24">
        <v>3</v>
      </c>
      <c r="H24">
        <v>55082</v>
      </c>
      <c r="I24">
        <v>10</v>
      </c>
      <c r="J24" t="s">
        <v>181</v>
      </c>
      <c r="K24">
        <v>148721.4</v>
      </c>
      <c r="L24">
        <v>95659.77</v>
      </c>
      <c r="M24">
        <v>53061.63</v>
      </c>
      <c r="N24" t="str">
        <f t="shared" si="0"/>
        <v>Feb</v>
      </c>
      <c r="O24">
        <f t="shared" si="1"/>
        <v>2</v>
      </c>
      <c r="P24" s="5">
        <f t="shared" si="2"/>
        <v>35.678543908274129</v>
      </c>
    </row>
    <row r="25" spans="1:16" x14ac:dyDescent="0.25">
      <c r="A25" t="s">
        <v>36</v>
      </c>
      <c r="B25" s="2">
        <v>46079.962025316447</v>
      </c>
      <c r="C25" t="s">
        <v>113</v>
      </c>
      <c r="D25" t="s">
        <v>169</v>
      </c>
      <c r="E25" t="s">
        <v>174</v>
      </c>
      <c r="F25" t="s">
        <v>176</v>
      </c>
      <c r="G25">
        <v>5</v>
      </c>
      <c r="H25">
        <v>2026</v>
      </c>
      <c r="I25">
        <v>10</v>
      </c>
      <c r="J25" t="s">
        <v>182</v>
      </c>
      <c r="K25">
        <v>9117</v>
      </c>
      <c r="L25">
        <v>5736.42</v>
      </c>
      <c r="M25">
        <v>3380.58</v>
      </c>
      <c r="N25" t="str">
        <f t="shared" si="0"/>
        <v>Feb</v>
      </c>
      <c r="O25">
        <f t="shared" si="1"/>
        <v>2</v>
      </c>
      <c r="P25" s="5">
        <f t="shared" si="2"/>
        <v>37.079960513326753</v>
      </c>
    </row>
    <row r="26" spans="1:16" x14ac:dyDescent="0.25">
      <c r="A26" t="s">
        <v>37</v>
      </c>
      <c r="B26" s="2">
        <v>46082.240506329108</v>
      </c>
      <c r="C26" t="s">
        <v>114</v>
      </c>
      <c r="D26" t="s">
        <v>169</v>
      </c>
      <c r="E26" t="s">
        <v>174</v>
      </c>
      <c r="F26" t="s">
        <v>178</v>
      </c>
      <c r="G26">
        <v>3</v>
      </c>
      <c r="H26">
        <v>2225</v>
      </c>
      <c r="I26">
        <v>15</v>
      </c>
      <c r="J26" t="s">
        <v>182</v>
      </c>
      <c r="K26">
        <v>5673.75</v>
      </c>
      <c r="L26">
        <v>3563.94</v>
      </c>
      <c r="M26">
        <v>2109.81</v>
      </c>
      <c r="N26" t="str">
        <f t="shared" si="0"/>
        <v>Mar</v>
      </c>
      <c r="O26">
        <f t="shared" si="1"/>
        <v>3</v>
      </c>
      <c r="P26" s="5">
        <f t="shared" si="2"/>
        <v>37.185459352280233</v>
      </c>
    </row>
    <row r="27" spans="1:16" x14ac:dyDescent="0.25">
      <c r="A27" t="s">
        <v>38</v>
      </c>
      <c r="B27" s="2">
        <v>46084.518987341769</v>
      </c>
      <c r="C27" t="s">
        <v>115</v>
      </c>
      <c r="D27" t="s">
        <v>170</v>
      </c>
      <c r="E27" t="s">
        <v>174</v>
      </c>
      <c r="F27" t="s">
        <v>175</v>
      </c>
      <c r="G27">
        <v>4</v>
      </c>
      <c r="H27">
        <v>1276</v>
      </c>
      <c r="I27">
        <v>5</v>
      </c>
      <c r="J27" t="s">
        <v>179</v>
      </c>
      <c r="K27">
        <v>4848.8</v>
      </c>
      <c r="L27">
        <v>3835.85</v>
      </c>
      <c r="M27">
        <v>1012.95</v>
      </c>
      <c r="N27" t="str">
        <f t="shared" si="0"/>
        <v>Mar</v>
      </c>
      <c r="O27">
        <f t="shared" si="1"/>
        <v>3</v>
      </c>
      <c r="P27" s="5">
        <f t="shared" si="2"/>
        <v>20.890735852169609</v>
      </c>
    </row>
    <row r="28" spans="1:16" x14ac:dyDescent="0.25">
      <c r="A28" t="s">
        <v>39</v>
      </c>
      <c r="B28" s="2">
        <v>46086.797468354423</v>
      </c>
      <c r="C28" t="s">
        <v>116</v>
      </c>
      <c r="D28" t="s">
        <v>167</v>
      </c>
      <c r="E28" t="s">
        <v>173</v>
      </c>
      <c r="F28" t="s">
        <v>177</v>
      </c>
      <c r="G28">
        <v>4</v>
      </c>
      <c r="H28">
        <v>14408</v>
      </c>
      <c r="I28">
        <v>5</v>
      </c>
      <c r="J28" t="s">
        <v>181</v>
      </c>
      <c r="K28">
        <v>54750.400000000001</v>
      </c>
      <c r="L28">
        <v>41650.36</v>
      </c>
      <c r="M28">
        <v>13100.04</v>
      </c>
      <c r="N28" t="str">
        <f t="shared" si="0"/>
        <v>Mar</v>
      </c>
      <c r="O28">
        <f t="shared" si="1"/>
        <v>3</v>
      </c>
      <c r="P28" s="5">
        <f t="shared" si="2"/>
        <v>23.926838890674773</v>
      </c>
    </row>
    <row r="29" spans="1:16" x14ac:dyDescent="0.25">
      <c r="A29" t="s">
        <v>40</v>
      </c>
      <c r="B29" s="2">
        <v>46089.075949367078</v>
      </c>
      <c r="C29" t="s">
        <v>117</v>
      </c>
      <c r="D29" t="s">
        <v>167</v>
      </c>
      <c r="E29" t="s">
        <v>173</v>
      </c>
      <c r="F29" t="s">
        <v>176</v>
      </c>
      <c r="G29">
        <v>3</v>
      </c>
      <c r="H29">
        <v>14083</v>
      </c>
      <c r="I29">
        <v>15</v>
      </c>
      <c r="J29" t="s">
        <v>182</v>
      </c>
      <c r="K29">
        <v>35911.65</v>
      </c>
      <c r="L29">
        <v>25670.9</v>
      </c>
      <c r="M29">
        <v>10240.75</v>
      </c>
      <c r="N29" t="str">
        <f t="shared" si="0"/>
        <v>Mar</v>
      </c>
      <c r="O29">
        <f t="shared" si="1"/>
        <v>3</v>
      </c>
      <c r="P29" s="5">
        <f t="shared" si="2"/>
        <v>28.516512051103192</v>
      </c>
    </row>
    <row r="30" spans="1:16" x14ac:dyDescent="0.25">
      <c r="A30" t="s">
        <v>41</v>
      </c>
      <c r="B30" s="2">
        <v>46091.354430379753</v>
      </c>
      <c r="C30" t="s">
        <v>118</v>
      </c>
      <c r="D30" t="s">
        <v>169</v>
      </c>
      <c r="E30" t="s">
        <v>174</v>
      </c>
      <c r="F30" t="s">
        <v>175</v>
      </c>
      <c r="G30">
        <v>4</v>
      </c>
      <c r="H30">
        <v>2480</v>
      </c>
      <c r="I30">
        <v>10</v>
      </c>
      <c r="J30" t="s">
        <v>179</v>
      </c>
      <c r="K30">
        <v>8928</v>
      </c>
      <c r="L30">
        <v>5710.05</v>
      </c>
      <c r="M30">
        <v>3217.95</v>
      </c>
      <c r="N30" t="str">
        <f t="shared" si="0"/>
        <v>Mar</v>
      </c>
      <c r="O30">
        <f t="shared" si="1"/>
        <v>3</v>
      </c>
      <c r="P30" s="5">
        <f t="shared" si="2"/>
        <v>36.043346774193544</v>
      </c>
    </row>
    <row r="31" spans="1:16" x14ac:dyDescent="0.25">
      <c r="A31" t="s">
        <v>42</v>
      </c>
      <c r="B31" s="2">
        <v>46093.632911392393</v>
      </c>
      <c r="C31" t="s">
        <v>119</v>
      </c>
      <c r="D31" t="s">
        <v>167</v>
      </c>
      <c r="E31" t="s">
        <v>173</v>
      </c>
      <c r="F31" t="s">
        <v>177</v>
      </c>
      <c r="G31">
        <v>3</v>
      </c>
      <c r="H31">
        <v>14252</v>
      </c>
      <c r="I31" s="3">
        <f>(G31*H31-K31)/(G31*H31)*100</f>
        <v>9.9999999999999964</v>
      </c>
      <c r="J31" t="s">
        <v>181</v>
      </c>
      <c r="K31">
        <v>38480.400000000001</v>
      </c>
      <c r="L31">
        <v>27641.360000000001</v>
      </c>
      <c r="M31">
        <v>10839.04</v>
      </c>
      <c r="N31" t="str">
        <f t="shared" si="0"/>
        <v>Mar</v>
      </c>
      <c r="O31">
        <f t="shared" si="1"/>
        <v>3</v>
      </c>
      <c r="P31" s="5">
        <f t="shared" si="2"/>
        <v>28.167690564547147</v>
      </c>
    </row>
    <row r="32" spans="1:16" x14ac:dyDescent="0.25">
      <c r="A32" t="s">
        <v>43</v>
      </c>
      <c r="B32" s="2">
        <v>46095.911392405047</v>
      </c>
      <c r="C32" t="s">
        <v>120</v>
      </c>
      <c r="D32" t="s">
        <v>167</v>
      </c>
      <c r="E32" t="s">
        <v>173</v>
      </c>
      <c r="F32" t="s">
        <v>177</v>
      </c>
      <c r="G32">
        <v>2</v>
      </c>
      <c r="H32">
        <v>14458</v>
      </c>
      <c r="I32">
        <v>5</v>
      </c>
      <c r="J32" t="s">
        <v>180</v>
      </c>
      <c r="K32">
        <v>27470.2</v>
      </c>
      <c r="L32">
        <v>19632.8</v>
      </c>
      <c r="M32">
        <v>7837.4</v>
      </c>
      <c r="N32" t="str">
        <f t="shared" si="0"/>
        <v>Mar</v>
      </c>
      <c r="O32">
        <f t="shared" si="1"/>
        <v>3</v>
      </c>
      <c r="P32" s="5">
        <f t="shared" si="2"/>
        <v>28.530553108459344</v>
      </c>
    </row>
    <row r="33" spans="1:16" x14ac:dyDescent="0.25">
      <c r="A33" t="s">
        <v>44</v>
      </c>
      <c r="B33" s="2">
        <v>46098.189873417723</v>
      </c>
      <c r="C33" t="s">
        <v>121</v>
      </c>
      <c r="D33" t="s">
        <v>171</v>
      </c>
      <c r="E33" t="s">
        <v>173</v>
      </c>
      <c r="F33" t="s">
        <v>178</v>
      </c>
      <c r="G33">
        <v>3</v>
      </c>
      <c r="H33">
        <v>55315</v>
      </c>
      <c r="I33">
        <v>10</v>
      </c>
      <c r="J33" t="s">
        <v>179</v>
      </c>
      <c r="K33">
        <v>149350.5</v>
      </c>
      <c r="L33">
        <v>97770.87</v>
      </c>
      <c r="M33">
        <v>51579.63</v>
      </c>
      <c r="N33" t="str">
        <f t="shared" si="0"/>
        <v>Mar</v>
      </c>
      <c r="O33">
        <f t="shared" si="1"/>
        <v>3</v>
      </c>
      <c r="P33" s="5">
        <f t="shared" si="2"/>
        <v>34.535960709873756</v>
      </c>
    </row>
    <row r="34" spans="1:16" x14ac:dyDescent="0.25">
      <c r="A34" t="s">
        <v>45</v>
      </c>
      <c r="B34" s="2">
        <v>46100.46835443037</v>
      </c>
      <c r="C34" t="s">
        <v>122</v>
      </c>
      <c r="D34" t="s">
        <v>169</v>
      </c>
      <c r="E34" t="s">
        <v>174</v>
      </c>
      <c r="F34" t="s">
        <v>175</v>
      </c>
      <c r="G34">
        <v>3</v>
      </c>
      <c r="H34">
        <v>2546</v>
      </c>
      <c r="I34">
        <v>0</v>
      </c>
      <c r="J34" t="s">
        <v>182</v>
      </c>
      <c r="K34">
        <v>7638</v>
      </c>
      <c r="L34">
        <v>5398.31</v>
      </c>
      <c r="M34">
        <v>2239.69</v>
      </c>
      <c r="N34" t="str">
        <f t="shared" ref="N34:N65" si="3">TEXT(B34,"mmm")</f>
        <v>Mar</v>
      </c>
      <c r="O34">
        <f t="shared" ref="O34:O65" si="4">MONTH(B34)</f>
        <v>3</v>
      </c>
      <c r="P34" s="5">
        <f t="shared" si="2"/>
        <v>29.322990311599895</v>
      </c>
    </row>
    <row r="35" spans="1:16" x14ac:dyDescent="0.25">
      <c r="A35" t="s">
        <v>46</v>
      </c>
      <c r="B35" s="2">
        <v>46102.746835443031</v>
      </c>
      <c r="C35" t="s">
        <v>123</v>
      </c>
      <c r="D35" t="s">
        <v>168</v>
      </c>
      <c r="E35" t="s">
        <v>174</v>
      </c>
      <c r="F35" t="s">
        <v>177</v>
      </c>
      <c r="G35">
        <v>4</v>
      </c>
      <c r="H35">
        <v>2991</v>
      </c>
      <c r="I35">
        <v>5</v>
      </c>
      <c r="J35" t="s">
        <v>180</v>
      </c>
      <c r="K35">
        <v>11365.8</v>
      </c>
      <c r="L35">
        <v>7952.66</v>
      </c>
      <c r="M35">
        <v>3413.14</v>
      </c>
      <c r="N35" t="str">
        <f t="shared" si="3"/>
        <v>Mar</v>
      </c>
      <c r="O35">
        <f t="shared" si="4"/>
        <v>3</v>
      </c>
      <c r="P35" s="5">
        <f t="shared" si="2"/>
        <v>30.029914304316456</v>
      </c>
    </row>
    <row r="36" spans="1:16" x14ac:dyDescent="0.25">
      <c r="A36" t="s">
        <v>47</v>
      </c>
      <c r="B36" s="2">
        <v>46105.025316455693</v>
      </c>
      <c r="C36" t="s">
        <v>124</v>
      </c>
      <c r="D36" t="s">
        <v>169</v>
      </c>
      <c r="E36" t="s">
        <v>174</v>
      </c>
      <c r="F36" t="s">
        <v>176</v>
      </c>
      <c r="G36">
        <v>4</v>
      </c>
      <c r="H36">
        <v>2048</v>
      </c>
      <c r="I36">
        <v>10</v>
      </c>
      <c r="J36" t="s">
        <v>180</v>
      </c>
      <c r="K36">
        <v>7372.8</v>
      </c>
      <c r="L36">
        <v>5479.24</v>
      </c>
      <c r="M36">
        <v>1893.56</v>
      </c>
      <c r="N36" t="str">
        <f t="shared" si="3"/>
        <v>Mar</v>
      </c>
      <c r="O36">
        <f t="shared" si="4"/>
        <v>3</v>
      </c>
      <c r="P36" s="5">
        <f t="shared" si="2"/>
        <v>25.683051215277775</v>
      </c>
    </row>
    <row r="37" spans="1:16" x14ac:dyDescent="0.25">
      <c r="A37" t="s">
        <v>48</v>
      </c>
      <c r="B37" s="2">
        <v>46107.303797468347</v>
      </c>
      <c r="C37" t="s">
        <v>125</v>
      </c>
      <c r="D37" t="s">
        <v>168</v>
      </c>
      <c r="E37" t="s">
        <v>174</v>
      </c>
      <c r="F37" t="s">
        <v>176</v>
      </c>
      <c r="G37">
        <v>1</v>
      </c>
      <c r="H37">
        <v>3311</v>
      </c>
      <c r="I37">
        <v>5</v>
      </c>
      <c r="J37" t="s">
        <v>180</v>
      </c>
      <c r="K37">
        <v>3145.45</v>
      </c>
      <c r="L37">
        <v>2349.71</v>
      </c>
      <c r="M37">
        <v>795.74</v>
      </c>
      <c r="N37" t="str">
        <f t="shared" si="3"/>
        <v>Mar</v>
      </c>
      <c r="O37">
        <f t="shared" si="4"/>
        <v>3</v>
      </c>
      <c r="P37" s="5">
        <f t="shared" si="2"/>
        <v>25.298129043539081</v>
      </c>
    </row>
    <row r="38" spans="1:16" x14ac:dyDescent="0.25">
      <c r="A38" t="s">
        <v>49</v>
      </c>
      <c r="B38" s="2">
        <v>46109.582278481008</v>
      </c>
      <c r="C38" t="s">
        <v>126</v>
      </c>
      <c r="D38" t="s">
        <v>171</v>
      </c>
      <c r="E38" t="s">
        <v>173</v>
      </c>
      <c r="F38" t="s">
        <v>178</v>
      </c>
      <c r="G38">
        <v>1</v>
      </c>
      <c r="H38">
        <v>54816</v>
      </c>
      <c r="I38">
        <v>0</v>
      </c>
      <c r="J38" t="s">
        <v>179</v>
      </c>
      <c r="K38">
        <v>54816</v>
      </c>
      <c r="L38">
        <v>34482.6</v>
      </c>
      <c r="M38">
        <v>20333.400000000001</v>
      </c>
      <c r="N38" t="str">
        <f t="shared" si="3"/>
        <v>Mar</v>
      </c>
      <c r="O38">
        <f t="shared" si="4"/>
        <v>3</v>
      </c>
      <c r="P38" s="5">
        <f t="shared" si="2"/>
        <v>37.093914185639235</v>
      </c>
    </row>
    <row r="39" spans="1:16" x14ac:dyDescent="0.25">
      <c r="A39" t="s">
        <v>50</v>
      </c>
      <c r="B39" s="2">
        <v>46111.860759493669</v>
      </c>
      <c r="C39" t="s">
        <v>127</v>
      </c>
      <c r="D39" t="s">
        <v>170</v>
      </c>
      <c r="E39" t="s">
        <v>174</v>
      </c>
      <c r="F39" t="s">
        <v>177</v>
      </c>
      <c r="G39">
        <v>2</v>
      </c>
      <c r="H39">
        <v>1171</v>
      </c>
      <c r="I39">
        <v>5</v>
      </c>
      <c r="J39" t="s">
        <v>182</v>
      </c>
      <c r="K39">
        <v>2224.9</v>
      </c>
      <c r="L39">
        <v>1546.13</v>
      </c>
      <c r="M39">
        <v>678.77</v>
      </c>
      <c r="N39" t="str">
        <f t="shared" si="3"/>
        <v>Mar</v>
      </c>
      <c r="O39">
        <f t="shared" si="4"/>
        <v>3</v>
      </c>
      <c r="P39" s="5">
        <f t="shared" si="2"/>
        <v>30.507887994966065</v>
      </c>
    </row>
    <row r="40" spans="1:16" x14ac:dyDescent="0.25">
      <c r="A40" t="s">
        <v>51</v>
      </c>
      <c r="B40" s="2">
        <v>46114.139240506323</v>
      </c>
      <c r="C40" t="s">
        <v>128</v>
      </c>
      <c r="D40" t="s">
        <v>167</v>
      </c>
      <c r="E40" t="s">
        <v>173</v>
      </c>
      <c r="F40" t="s">
        <v>175</v>
      </c>
      <c r="G40">
        <v>1</v>
      </c>
      <c r="H40">
        <v>14019</v>
      </c>
      <c r="I40">
        <v>5</v>
      </c>
      <c r="J40" t="s">
        <v>180</v>
      </c>
      <c r="K40">
        <v>13318.05</v>
      </c>
      <c r="L40">
        <v>9924.24</v>
      </c>
      <c r="M40">
        <v>3393.81</v>
      </c>
      <c r="N40" t="str">
        <f t="shared" si="3"/>
        <v>Apr</v>
      </c>
      <c r="O40">
        <f t="shared" si="4"/>
        <v>4</v>
      </c>
      <c r="P40" s="5">
        <f t="shared" si="2"/>
        <v>25.482784641895773</v>
      </c>
    </row>
    <row r="41" spans="1:16" x14ac:dyDescent="0.25">
      <c r="A41" t="s">
        <v>52</v>
      </c>
      <c r="B41" s="2">
        <v>46116.417721518977</v>
      </c>
      <c r="C41" t="s">
        <v>129</v>
      </c>
      <c r="D41" t="s">
        <v>171</v>
      </c>
      <c r="E41" t="s">
        <v>173</v>
      </c>
      <c r="F41" t="s">
        <v>176</v>
      </c>
      <c r="G41">
        <v>3</v>
      </c>
      <c r="H41">
        <v>54957</v>
      </c>
      <c r="I41">
        <v>5</v>
      </c>
      <c r="J41" t="s">
        <v>181</v>
      </c>
      <c r="K41">
        <v>156627.45000000001</v>
      </c>
      <c r="L41">
        <v>112870.01</v>
      </c>
      <c r="M41">
        <v>43757.440000000002</v>
      </c>
      <c r="N41" t="str">
        <f t="shared" si="3"/>
        <v>Apr</v>
      </c>
      <c r="O41">
        <f t="shared" si="4"/>
        <v>4</v>
      </c>
      <c r="P41" s="5">
        <f t="shared" si="2"/>
        <v>27.937274085736568</v>
      </c>
    </row>
    <row r="42" spans="1:16" x14ac:dyDescent="0.25">
      <c r="A42" t="s">
        <v>53</v>
      </c>
      <c r="B42" s="2">
        <v>46118.696202531653</v>
      </c>
      <c r="C42" t="s">
        <v>130</v>
      </c>
      <c r="D42" t="s">
        <v>167</v>
      </c>
      <c r="E42" t="s">
        <v>173</v>
      </c>
      <c r="F42" t="s">
        <v>177</v>
      </c>
      <c r="G42">
        <v>4</v>
      </c>
      <c r="H42">
        <v>14276</v>
      </c>
      <c r="I42">
        <v>5</v>
      </c>
      <c r="J42" t="s">
        <v>180</v>
      </c>
      <c r="K42">
        <v>54248.800000000003</v>
      </c>
      <c r="L42">
        <v>42926.97</v>
      </c>
      <c r="M42">
        <v>11321.83</v>
      </c>
      <c r="N42" t="str">
        <f t="shared" si="3"/>
        <v>Apr</v>
      </c>
      <c r="O42">
        <f t="shared" si="4"/>
        <v>4</v>
      </c>
      <c r="P42" s="5">
        <f t="shared" si="2"/>
        <v>20.870194363746293</v>
      </c>
    </row>
    <row r="43" spans="1:16" x14ac:dyDescent="0.25">
      <c r="A43" t="s">
        <v>54</v>
      </c>
      <c r="B43" s="2">
        <v>46120.974683544293</v>
      </c>
      <c r="C43" t="s">
        <v>131</v>
      </c>
      <c r="D43" t="s">
        <v>170</v>
      </c>
      <c r="E43" t="s">
        <v>174</v>
      </c>
      <c r="F43" t="s">
        <v>177</v>
      </c>
      <c r="G43">
        <v>1</v>
      </c>
      <c r="H43">
        <v>1045</v>
      </c>
      <c r="I43">
        <v>0</v>
      </c>
      <c r="J43" t="s">
        <v>180</v>
      </c>
      <c r="K43">
        <v>1045</v>
      </c>
      <c r="L43">
        <v>785.57</v>
      </c>
      <c r="M43">
        <v>259.43</v>
      </c>
      <c r="N43" t="str">
        <f t="shared" si="3"/>
        <v>Apr</v>
      </c>
      <c r="O43">
        <f t="shared" si="4"/>
        <v>4</v>
      </c>
      <c r="P43" s="5">
        <f t="shared" si="2"/>
        <v>24.825837320574163</v>
      </c>
    </row>
    <row r="44" spans="1:16" x14ac:dyDescent="0.25">
      <c r="A44" t="s">
        <v>55</v>
      </c>
      <c r="B44" s="2">
        <v>46123.253164556947</v>
      </c>
      <c r="C44" t="s">
        <v>132</v>
      </c>
      <c r="D44" t="s">
        <v>170</v>
      </c>
      <c r="E44" t="s">
        <v>174</v>
      </c>
      <c r="F44" t="s">
        <v>185</v>
      </c>
      <c r="G44">
        <v>1</v>
      </c>
      <c r="H44">
        <v>1372</v>
      </c>
      <c r="I44">
        <v>15</v>
      </c>
      <c r="J44" t="s">
        <v>179</v>
      </c>
      <c r="K44">
        <v>1166.2</v>
      </c>
      <c r="L44">
        <v>761.05</v>
      </c>
      <c r="M44">
        <v>405.15</v>
      </c>
      <c r="N44" t="str">
        <f t="shared" si="3"/>
        <v>Apr</v>
      </c>
      <c r="O44">
        <f t="shared" si="4"/>
        <v>4</v>
      </c>
      <c r="P44" s="5">
        <f t="shared" si="2"/>
        <v>34.741039272851992</v>
      </c>
    </row>
    <row r="45" spans="1:16" x14ac:dyDescent="0.25">
      <c r="A45" t="s">
        <v>56</v>
      </c>
      <c r="B45" s="2">
        <v>46125.531645569623</v>
      </c>
      <c r="C45" t="s">
        <v>133</v>
      </c>
      <c r="D45" t="s">
        <v>171</v>
      </c>
      <c r="E45" t="s">
        <v>173</v>
      </c>
      <c r="F45" t="s">
        <v>176</v>
      </c>
      <c r="G45">
        <v>2</v>
      </c>
      <c r="H45">
        <v>55317</v>
      </c>
      <c r="I45">
        <v>5</v>
      </c>
      <c r="J45" t="s">
        <v>179</v>
      </c>
      <c r="K45">
        <v>105102.3</v>
      </c>
      <c r="L45">
        <v>66646.81</v>
      </c>
      <c r="M45">
        <v>38455.49</v>
      </c>
      <c r="N45" t="str">
        <f t="shared" si="3"/>
        <v>Apr</v>
      </c>
      <c r="O45">
        <f t="shared" si="4"/>
        <v>4</v>
      </c>
      <c r="P45" s="5">
        <f t="shared" si="2"/>
        <v>36.588628412508569</v>
      </c>
    </row>
    <row r="46" spans="1:16" x14ac:dyDescent="0.25">
      <c r="A46" t="s">
        <v>57</v>
      </c>
      <c r="B46" s="2">
        <v>46127.81012658227</v>
      </c>
      <c r="C46" t="s">
        <v>134</v>
      </c>
      <c r="D46" t="s">
        <v>170</v>
      </c>
      <c r="E46" t="s">
        <v>174</v>
      </c>
      <c r="F46" t="s">
        <v>176</v>
      </c>
      <c r="G46">
        <v>2</v>
      </c>
      <c r="H46">
        <v>1098</v>
      </c>
      <c r="I46">
        <v>5</v>
      </c>
      <c r="J46" t="s">
        <v>182</v>
      </c>
      <c r="K46">
        <v>2086.1999999999998</v>
      </c>
      <c r="L46">
        <v>1561.49</v>
      </c>
      <c r="M46">
        <v>524.71</v>
      </c>
      <c r="N46" t="str">
        <f t="shared" si="3"/>
        <v>Apr</v>
      </c>
      <c r="O46">
        <f t="shared" si="4"/>
        <v>4</v>
      </c>
      <c r="P46" s="5">
        <f t="shared" si="2"/>
        <v>25.151471575112648</v>
      </c>
    </row>
    <row r="47" spans="1:16" x14ac:dyDescent="0.25">
      <c r="A47" t="s">
        <v>58</v>
      </c>
      <c r="B47" s="2">
        <v>46130.088607594931</v>
      </c>
      <c r="C47" t="s">
        <v>135</v>
      </c>
      <c r="D47" t="s">
        <v>168</v>
      </c>
      <c r="E47" t="s">
        <v>174</v>
      </c>
      <c r="F47" t="s">
        <v>175</v>
      </c>
      <c r="G47">
        <v>3</v>
      </c>
      <c r="H47">
        <v>2836</v>
      </c>
      <c r="I47">
        <v>10</v>
      </c>
      <c r="J47" t="s">
        <v>181</v>
      </c>
      <c r="K47">
        <v>7657.2</v>
      </c>
      <c r="L47">
        <v>4788.0600000000004</v>
      </c>
      <c r="M47">
        <v>2869.14</v>
      </c>
      <c r="N47" t="str">
        <f t="shared" si="3"/>
        <v>Apr</v>
      </c>
      <c r="O47">
        <f t="shared" si="4"/>
        <v>4</v>
      </c>
      <c r="P47" s="5">
        <f t="shared" si="2"/>
        <v>37.469832314684218</v>
      </c>
    </row>
    <row r="48" spans="1:16" x14ac:dyDescent="0.25">
      <c r="A48" t="s">
        <v>59</v>
      </c>
      <c r="B48" s="2">
        <v>46132.367088607592</v>
      </c>
      <c r="C48" t="s">
        <v>136</v>
      </c>
      <c r="D48" t="s">
        <v>170</v>
      </c>
      <c r="E48" t="s">
        <v>174</v>
      </c>
      <c r="F48" t="s">
        <v>176</v>
      </c>
      <c r="G48">
        <v>4</v>
      </c>
      <c r="H48">
        <v>1279</v>
      </c>
      <c r="I48">
        <v>5</v>
      </c>
      <c r="J48" t="s">
        <v>179</v>
      </c>
      <c r="K48">
        <v>4860.2</v>
      </c>
      <c r="L48">
        <v>3582.72</v>
      </c>
      <c r="M48">
        <v>1277.48</v>
      </c>
      <c r="N48" t="str">
        <f t="shared" si="3"/>
        <v>Apr</v>
      </c>
      <c r="O48">
        <f t="shared" si="4"/>
        <v>4</v>
      </c>
      <c r="P48" s="5">
        <f t="shared" si="2"/>
        <v>26.284515040533314</v>
      </c>
    </row>
    <row r="49" spans="1:16" x14ac:dyDescent="0.25">
      <c r="A49" t="s">
        <v>60</v>
      </c>
      <c r="B49" s="2">
        <v>46134.645569620247</v>
      </c>
      <c r="C49" t="s">
        <v>137</v>
      </c>
      <c r="D49" t="s">
        <v>167</v>
      </c>
      <c r="E49" t="s">
        <v>173</v>
      </c>
      <c r="F49" t="s">
        <v>175</v>
      </c>
      <c r="G49">
        <v>2</v>
      </c>
      <c r="H49">
        <v>14148</v>
      </c>
      <c r="I49">
        <v>10</v>
      </c>
      <c r="J49" t="s">
        <v>180</v>
      </c>
      <c r="K49">
        <v>25466.400000000001</v>
      </c>
      <c r="L49">
        <v>20578.02</v>
      </c>
      <c r="M49">
        <v>4888.38</v>
      </c>
      <c r="N49" t="str">
        <f t="shared" si="3"/>
        <v>Apr</v>
      </c>
      <c r="O49">
        <f t="shared" si="4"/>
        <v>4</v>
      </c>
      <c r="P49" s="5">
        <f t="shared" si="2"/>
        <v>19.195410423145791</v>
      </c>
    </row>
    <row r="50" spans="1:16" x14ac:dyDescent="0.25">
      <c r="A50" t="s">
        <v>61</v>
      </c>
      <c r="B50" s="2">
        <v>46136.924050632908</v>
      </c>
      <c r="C50" t="s">
        <v>138</v>
      </c>
      <c r="D50" t="s">
        <v>167</v>
      </c>
      <c r="E50" t="s">
        <v>173</v>
      </c>
      <c r="F50" t="s">
        <v>176</v>
      </c>
      <c r="G50">
        <v>1</v>
      </c>
      <c r="H50">
        <v>14296</v>
      </c>
      <c r="I50">
        <v>15</v>
      </c>
      <c r="J50" t="s">
        <v>182</v>
      </c>
      <c r="K50">
        <v>12151.6</v>
      </c>
      <c r="L50">
        <v>8932.58</v>
      </c>
      <c r="M50">
        <v>3219.02</v>
      </c>
      <c r="N50" t="str">
        <f t="shared" si="3"/>
        <v>Apr</v>
      </c>
      <c r="O50">
        <f t="shared" si="4"/>
        <v>4</v>
      </c>
      <c r="P50" s="5">
        <f t="shared" si="2"/>
        <v>26.490503308206325</v>
      </c>
    </row>
    <row r="51" spans="1:16" x14ac:dyDescent="0.25">
      <c r="A51" t="s">
        <v>62</v>
      </c>
      <c r="B51" s="2">
        <v>46139.202531645569</v>
      </c>
      <c r="C51" t="s">
        <v>139</v>
      </c>
      <c r="D51" t="s">
        <v>167</v>
      </c>
      <c r="E51" t="s">
        <v>173</v>
      </c>
      <c r="F51" t="s">
        <v>178</v>
      </c>
      <c r="G51">
        <v>4</v>
      </c>
      <c r="H51">
        <v>14101</v>
      </c>
      <c r="I51">
        <v>0</v>
      </c>
      <c r="J51" t="s">
        <v>180</v>
      </c>
      <c r="K51">
        <v>56404</v>
      </c>
      <c r="L51">
        <v>39349.35</v>
      </c>
      <c r="M51">
        <v>17054.650000000001</v>
      </c>
      <c r="N51" t="str">
        <f t="shared" si="3"/>
        <v>Apr</v>
      </c>
      <c r="O51">
        <f t="shared" si="4"/>
        <v>4</v>
      </c>
      <c r="P51" s="5">
        <f t="shared" si="2"/>
        <v>30.236596695269842</v>
      </c>
    </row>
    <row r="52" spans="1:16" x14ac:dyDescent="0.25">
      <c r="A52" t="s">
        <v>63</v>
      </c>
      <c r="B52" s="2">
        <v>46141.481012658223</v>
      </c>
      <c r="C52" t="s">
        <v>140</v>
      </c>
      <c r="D52" t="s">
        <v>167</v>
      </c>
      <c r="E52" t="s">
        <v>173</v>
      </c>
      <c r="F52" t="s">
        <v>176</v>
      </c>
      <c r="G52">
        <v>4</v>
      </c>
      <c r="H52">
        <v>13980</v>
      </c>
      <c r="I52">
        <v>0</v>
      </c>
      <c r="J52" t="s">
        <v>180</v>
      </c>
      <c r="K52">
        <v>55920</v>
      </c>
      <c r="L52">
        <v>41864.94</v>
      </c>
      <c r="M52">
        <v>14055.06</v>
      </c>
      <c r="N52" t="str">
        <f t="shared" si="3"/>
        <v>Apr</v>
      </c>
      <c r="O52">
        <f t="shared" si="4"/>
        <v>4</v>
      </c>
      <c r="P52" s="5">
        <f t="shared" si="2"/>
        <v>25.134227467811161</v>
      </c>
    </row>
    <row r="53" spans="1:16" x14ac:dyDescent="0.25">
      <c r="A53" t="s">
        <v>64</v>
      </c>
      <c r="B53" s="2">
        <v>46143.759493670877</v>
      </c>
      <c r="C53" t="s">
        <v>141</v>
      </c>
      <c r="D53" t="s">
        <v>168</v>
      </c>
      <c r="E53" t="s">
        <v>174</v>
      </c>
      <c r="F53" t="s">
        <v>175</v>
      </c>
      <c r="G53">
        <v>1</v>
      </c>
      <c r="H53">
        <v>3406</v>
      </c>
      <c r="I53">
        <v>15</v>
      </c>
      <c r="J53" t="s">
        <v>179</v>
      </c>
      <c r="K53">
        <v>2895.1</v>
      </c>
      <c r="L53">
        <v>2060.3000000000002</v>
      </c>
      <c r="M53">
        <v>834.8</v>
      </c>
      <c r="N53" t="str">
        <f t="shared" si="3"/>
        <v>May</v>
      </c>
      <c r="O53">
        <f t="shared" si="4"/>
        <v>5</v>
      </c>
      <c r="P53" s="5">
        <f t="shared" si="2"/>
        <v>28.834927981762288</v>
      </c>
    </row>
    <row r="54" spans="1:16" x14ac:dyDescent="0.25">
      <c r="A54" t="s">
        <v>65</v>
      </c>
      <c r="B54" s="2">
        <v>46146.037974683539</v>
      </c>
      <c r="C54" t="s">
        <v>142</v>
      </c>
      <c r="D54" t="s">
        <v>169</v>
      </c>
      <c r="E54" t="s">
        <v>174</v>
      </c>
      <c r="F54" t="s">
        <v>175</v>
      </c>
      <c r="G54">
        <v>2</v>
      </c>
      <c r="H54">
        <v>2098</v>
      </c>
      <c r="I54">
        <v>0</v>
      </c>
      <c r="J54" t="s">
        <v>182</v>
      </c>
      <c r="K54">
        <v>4196</v>
      </c>
      <c r="L54">
        <v>3059.4</v>
      </c>
      <c r="M54">
        <v>1136.5999999999999</v>
      </c>
      <c r="N54" t="str">
        <f t="shared" si="3"/>
        <v>May</v>
      </c>
      <c r="O54">
        <f t="shared" si="4"/>
        <v>5</v>
      </c>
      <c r="P54" s="5">
        <f t="shared" si="2"/>
        <v>27.087702573879884</v>
      </c>
    </row>
    <row r="55" spans="1:16" x14ac:dyDescent="0.25">
      <c r="A55" t="s">
        <v>66</v>
      </c>
      <c r="B55" s="2">
        <v>46148.316455696193</v>
      </c>
      <c r="C55" t="s">
        <v>143</v>
      </c>
      <c r="D55" t="s">
        <v>171</v>
      </c>
      <c r="E55" t="s">
        <v>173</v>
      </c>
      <c r="F55" t="s">
        <v>178</v>
      </c>
      <c r="G55">
        <v>1</v>
      </c>
      <c r="H55">
        <v>55499</v>
      </c>
      <c r="I55">
        <v>15</v>
      </c>
      <c r="J55" t="s">
        <v>183</v>
      </c>
      <c r="K55">
        <v>47174.15</v>
      </c>
      <c r="L55">
        <v>38130.53</v>
      </c>
      <c r="M55">
        <v>9043.6200000000008</v>
      </c>
      <c r="N55" t="str">
        <f t="shared" si="3"/>
        <v>May</v>
      </c>
      <c r="O55">
        <f t="shared" si="4"/>
        <v>5</v>
      </c>
      <c r="P55" s="5">
        <f t="shared" si="2"/>
        <v>19.170711077995048</v>
      </c>
    </row>
    <row r="56" spans="1:16" x14ac:dyDescent="0.25">
      <c r="A56" t="s">
        <v>67</v>
      </c>
      <c r="B56" s="2">
        <v>46150.594936708847</v>
      </c>
      <c r="C56" t="s">
        <v>144</v>
      </c>
      <c r="D56" t="s">
        <v>167</v>
      </c>
      <c r="E56" t="s">
        <v>173</v>
      </c>
      <c r="F56" t="s">
        <v>176</v>
      </c>
      <c r="G56">
        <v>4</v>
      </c>
      <c r="H56">
        <v>13915</v>
      </c>
      <c r="I56">
        <v>15</v>
      </c>
      <c r="J56" t="s">
        <v>181</v>
      </c>
      <c r="K56">
        <v>47311</v>
      </c>
      <c r="L56">
        <v>32986.199999999997</v>
      </c>
      <c r="M56">
        <v>14324.8</v>
      </c>
      <c r="N56" t="str">
        <f t="shared" si="3"/>
        <v>May</v>
      </c>
      <c r="O56">
        <f t="shared" si="4"/>
        <v>5</v>
      </c>
      <c r="P56" s="5">
        <f t="shared" si="2"/>
        <v>30.277948045908982</v>
      </c>
    </row>
    <row r="57" spans="1:16" x14ac:dyDescent="0.25">
      <c r="A57" t="s">
        <v>68</v>
      </c>
      <c r="B57" s="2">
        <v>46152.873417721523</v>
      </c>
      <c r="C57" t="s">
        <v>145</v>
      </c>
      <c r="D57" t="s">
        <v>170</v>
      </c>
      <c r="E57" t="s">
        <v>174</v>
      </c>
      <c r="F57" t="s">
        <v>176</v>
      </c>
      <c r="G57">
        <v>5</v>
      </c>
      <c r="H57">
        <v>1190</v>
      </c>
      <c r="I57">
        <v>15</v>
      </c>
      <c r="J57" t="s">
        <v>179</v>
      </c>
      <c r="K57">
        <v>5057.5</v>
      </c>
      <c r="L57">
        <v>4107.8900000000003</v>
      </c>
      <c r="M57">
        <v>949.61</v>
      </c>
      <c r="N57" t="str">
        <f t="shared" si="3"/>
        <v>May</v>
      </c>
      <c r="O57">
        <f t="shared" si="4"/>
        <v>5</v>
      </c>
      <c r="P57" s="5">
        <f t="shared" si="2"/>
        <v>18.77627286208601</v>
      </c>
    </row>
    <row r="58" spans="1:16" x14ac:dyDescent="0.25">
      <c r="A58" t="s">
        <v>69</v>
      </c>
      <c r="B58" s="2">
        <v>46155.15189873417</v>
      </c>
      <c r="C58" t="s">
        <v>146</v>
      </c>
      <c r="D58" t="s">
        <v>167</v>
      </c>
      <c r="E58" t="s">
        <v>173</v>
      </c>
      <c r="F58" t="s">
        <v>178</v>
      </c>
      <c r="G58">
        <v>5</v>
      </c>
      <c r="H58">
        <v>14052</v>
      </c>
      <c r="I58">
        <v>0</v>
      </c>
      <c r="J58" t="s">
        <v>179</v>
      </c>
      <c r="K58">
        <v>70260</v>
      </c>
      <c r="L58">
        <v>56283.19</v>
      </c>
      <c r="M58">
        <v>13976.81</v>
      </c>
      <c r="N58" t="str">
        <f t="shared" si="3"/>
        <v>May</v>
      </c>
      <c r="O58">
        <f t="shared" si="4"/>
        <v>5</v>
      </c>
      <c r="P58" s="5">
        <f t="shared" si="2"/>
        <v>19.892983205237687</v>
      </c>
    </row>
    <row r="59" spans="1:16" x14ac:dyDescent="0.25">
      <c r="A59" t="s">
        <v>70</v>
      </c>
      <c r="B59" s="2">
        <v>46157.430379746831</v>
      </c>
      <c r="C59" t="s">
        <v>147</v>
      </c>
      <c r="D59" t="s">
        <v>170</v>
      </c>
      <c r="E59" t="s">
        <v>174</v>
      </c>
      <c r="F59" t="s">
        <v>176</v>
      </c>
      <c r="G59">
        <v>3</v>
      </c>
      <c r="H59">
        <v>1160</v>
      </c>
      <c r="I59">
        <v>10</v>
      </c>
      <c r="J59" t="s">
        <v>182</v>
      </c>
      <c r="K59">
        <v>3132</v>
      </c>
      <c r="L59">
        <v>2064.48</v>
      </c>
      <c r="M59">
        <v>1067.52</v>
      </c>
      <c r="N59" t="str">
        <f t="shared" si="3"/>
        <v>May</v>
      </c>
      <c r="O59">
        <f t="shared" si="4"/>
        <v>5</v>
      </c>
      <c r="P59" s="5">
        <f t="shared" si="2"/>
        <v>34.08429118773946</v>
      </c>
    </row>
    <row r="60" spans="1:16" x14ac:dyDescent="0.25">
      <c r="A60" t="s">
        <v>71</v>
      </c>
      <c r="B60" s="2">
        <v>46159.708860759492</v>
      </c>
      <c r="C60" t="s">
        <v>148</v>
      </c>
      <c r="D60" t="s">
        <v>170</v>
      </c>
      <c r="E60" t="s">
        <v>174</v>
      </c>
      <c r="F60" t="s">
        <v>176</v>
      </c>
      <c r="G60">
        <v>1</v>
      </c>
      <c r="H60">
        <v>1255</v>
      </c>
      <c r="I60">
        <v>15</v>
      </c>
      <c r="J60" t="s">
        <v>181</v>
      </c>
      <c r="K60">
        <v>1066.75</v>
      </c>
      <c r="L60">
        <v>676.18</v>
      </c>
      <c r="M60">
        <v>390.57</v>
      </c>
      <c r="N60" t="str">
        <f t="shared" si="3"/>
        <v>May</v>
      </c>
      <c r="O60">
        <f t="shared" si="4"/>
        <v>5</v>
      </c>
      <c r="P60" s="5">
        <f t="shared" si="2"/>
        <v>36.613077103351301</v>
      </c>
    </row>
    <row r="61" spans="1:16" x14ac:dyDescent="0.25">
      <c r="A61" t="s">
        <v>72</v>
      </c>
      <c r="B61" s="2">
        <v>46161.987341772139</v>
      </c>
      <c r="C61" t="s">
        <v>149</v>
      </c>
      <c r="D61" t="s">
        <v>167</v>
      </c>
      <c r="E61" t="s">
        <v>173</v>
      </c>
      <c r="F61" t="s">
        <v>175</v>
      </c>
      <c r="G61">
        <v>1</v>
      </c>
      <c r="H61">
        <v>14122</v>
      </c>
      <c r="I61">
        <v>5</v>
      </c>
      <c r="J61" t="s">
        <v>181</v>
      </c>
      <c r="K61">
        <v>13415.9</v>
      </c>
      <c r="L61">
        <v>8588.26</v>
      </c>
      <c r="M61">
        <v>4827.6400000000003</v>
      </c>
      <c r="N61" t="str">
        <f t="shared" si="3"/>
        <v>May</v>
      </c>
      <c r="O61">
        <f t="shared" si="4"/>
        <v>5</v>
      </c>
      <c r="P61" s="5">
        <f t="shared" si="2"/>
        <v>35.984466193099237</v>
      </c>
    </row>
    <row r="62" spans="1:16" x14ac:dyDescent="0.25">
      <c r="A62" t="s">
        <v>73</v>
      </c>
      <c r="B62" s="2">
        <v>46164.265822784801</v>
      </c>
      <c r="C62" t="s">
        <v>150</v>
      </c>
      <c r="D62" t="s">
        <v>168</v>
      </c>
      <c r="E62" t="s">
        <v>174</v>
      </c>
      <c r="F62" t="s">
        <v>176</v>
      </c>
      <c r="G62">
        <v>3</v>
      </c>
      <c r="H62">
        <v>2927</v>
      </c>
      <c r="I62">
        <v>0</v>
      </c>
      <c r="J62" t="s">
        <v>181</v>
      </c>
      <c r="K62">
        <v>8781</v>
      </c>
      <c r="L62">
        <v>5476.22</v>
      </c>
      <c r="M62">
        <v>3304.78</v>
      </c>
      <c r="N62" t="str">
        <f t="shared" si="3"/>
        <v>May</v>
      </c>
      <c r="O62">
        <f t="shared" si="4"/>
        <v>5</v>
      </c>
      <c r="P62" s="5">
        <f t="shared" si="2"/>
        <v>37.635576813574765</v>
      </c>
    </row>
    <row r="63" spans="1:16" x14ac:dyDescent="0.25">
      <c r="A63" t="s">
        <v>74</v>
      </c>
      <c r="B63" s="2">
        <v>46166.544303797462</v>
      </c>
      <c r="C63" t="s">
        <v>151</v>
      </c>
      <c r="D63" t="s">
        <v>170</v>
      </c>
      <c r="E63" t="s">
        <v>174</v>
      </c>
      <c r="F63" t="s">
        <v>176</v>
      </c>
      <c r="G63">
        <v>3</v>
      </c>
      <c r="H63">
        <v>1017</v>
      </c>
      <c r="I63">
        <v>15</v>
      </c>
      <c r="J63" t="s">
        <v>180</v>
      </c>
      <c r="K63">
        <v>2593.35</v>
      </c>
      <c r="L63">
        <v>1656.86</v>
      </c>
      <c r="M63">
        <v>936.49</v>
      </c>
      <c r="N63" t="str">
        <f t="shared" si="3"/>
        <v>May</v>
      </c>
      <c r="O63">
        <f t="shared" si="4"/>
        <v>5</v>
      </c>
      <c r="P63" s="5">
        <f t="shared" si="2"/>
        <v>36.111207511519851</v>
      </c>
    </row>
    <row r="64" spans="1:16" x14ac:dyDescent="0.25">
      <c r="A64" t="s">
        <v>75</v>
      </c>
      <c r="B64" s="2">
        <v>46168.822784810123</v>
      </c>
      <c r="C64" t="s">
        <v>152</v>
      </c>
      <c r="D64" t="s">
        <v>170</v>
      </c>
      <c r="E64" t="s">
        <v>174</v>
      </c>
      <c r="F64" t="s">
        <v>178</v>
      </c>
      <c r="G64">
        <v>3</v>
      </c>
      <c r="H64">
        <v>1565</v>
      </c>
      <c r="I64">
        <v>15</v>
      </c>
      <c r="J64" t="s">
        <v>181</v>
      </c>
      <c r="K64">
        <v>3990.75</v>
      </c>
      <c r="L64">
        <v>3019.41</v>
      </c>
      <c r="M64">
        <v>971.34</v>
      </c>
      <c r="N64" t="str">
        <f t="shared" si="3"/>
        <v>May</v>
      </c>
      <c r="O64">
        <f t="shared" si="4"/>
        <v>5</v>
      </c>
      <c r="P64" s="5">
        <f t="shared" si="2"/>
        <v>24.339785754557415</v>
      </c>
    </row>
    <row r="65" spans="1:16" x14ac:dyDescent="0.25">
      <c r="A65" t="s">
        <v>76</v>
      </c>
      <c r="B65" s="2">
        <v>46171.101265822777</v>
      </c>
      <c r="C65" t="s">
        <v>153</v>
      </c>
      <c r="D65" t="s">
        <v>167</v>
      </c>
      <c r="E65" t="s">
        <v>173</v>
      </c>
      <c r="F65" t="s">
        <v>178</v>
      </c>
      <c r="G65">
        <v>4</v>
      </c>
      <c r="H65">
        <v>14369</v>
      </c>
      <c r="I65">
        <v>5</v>
      </c>
      <c r="J65" t="s">
        <v>180</v>
      </c>
      <c r="K65">
        <v>54602.2</v>
      </c>
      <c r="L65">
        <v>34630.78</v>
      </c>
      <c r="M65">
        <v>19971.419999999998</v>
      </c>
      <c r="N65" t="str">
        <f t="shared" si="3"/>
        <v>May</v>
      </c>
      <c r="O65">
        <f t="shared" si="4"/>
        <v>5</v>
      </c>
      <c r="P65" s="5">
        <f t="shared" ref="P65:P79" si="5">M65/K65*100</f>
        <v>36.576218540644881</v>
      </c>
    </row>
    <row r="66" spans="1:16" x14ac:dyDescent="0.25">
      <c r="A66" t="s">
        <v>77</v>
      </c>
      <c r="B66" s="2">
        <v>46173.379746835439</v>
      </c>
      <c r="C66" t="s">
        <v>154</v>
      </c>
      <c r="D66" t="s">
        <v>170</v>
      </c>
      <c r="E66" t="s">
        <v>174</v>
      </c>
      <c r="F66" t="s">
        <v>177</v>
      </c>
      <c r="G66">
        <v>1</v>
      </c>
      <c r="H66">
        <v>3311</v>
      </c>
      <c r="I66">
        <v>10</v>
      </c>
      <c r="J66" t="s">
        <v>182</v>
      </c>
      <c r="K66">
        <v>1189.8</v>
      </c>
      <c r="L66">
        <v>813.58</v>
      </c>
      <c r="M66">
        <v>376.22</v>
      </c>
      <c r="N66" t="str">
        <f t="shared" ref="N66:N79" si="6">TEXT(B66,"mmm")</f>
        <v>May</v>
      </c>
      <c r="O66">
        <f t="shared" ref="O66:O79" si="7">MONTH(B66)</f>
        <v>5</v>
      </c>
      <c r="P66" s="5">
        <f t="shared" si="5"/>
        <v>31.620440410152973</v>
      </c>
    </row>
    <row r="67" spans="1:16" x14ac:dyDescent="0.25">
      <c r="A67" t="s">
        <v>78</v>
      </c>
      <c r="B67" s="2">
        <v>46175.658227848093</v>
      </c>
      <c r="C67" t="s">
        <v>155</v>
      </c>
      <c r="D67" t="s">
        <v>170</v>
      </c>
      <c r="E67" t="s">
        <v>174</v>
      </c>
      <c r="F67" t="s">
        <v>175</v>
      </c>
      <c r="G67">
        <v>4</v>
      </c>
      <c r="H67">
        <v>1685</v>
      </c>
      <c r="I67">
        <v>10</v>
      </c>
      <c r="J67" t="s">
        <v>180</v>
      </c>
      <c r="K67">
        <v>6066</v>
      </c>
      <c r="L67">
        <v>4785.92</v>
      </c>
      <c r="M67">
        <v>1280.08</v>
      </c>
      <c r="N67" t="str">
        <f t="shared" si="6"/>
        <v>Jun</v>
      </c>
      <c r="O67">
        <f t="shared" si="7"/>
        <v>6</v>
      </c>
      <c r="P67" s="5">
        <f t="shared" si="5"/>
        <v>21.102538740520934</v>
      </c>
    </row>
    <row r="68" spans="1:16" x14ac:dyDescent="0.25">
      <c r="A68" t="s">
        <v>79</v>
      </c>
      <c r="B68" s="2">
        <v>46177.936708860747</v>
      </c>
      <c r="C68" t="s">
        <v>156</v>
      </c>
      <c r="D68" t="s">
        <v>167</v>
      </c>
      <c r="E68" t="s">
        <v>173</v>
      </c>
      <c r="F68" t="s">
        <v>176</v>
      </c>
      <c r="G68">
        <v>3</v>
      </c>
      <c r="H68">
        <v>14425</v>
      </c>
      <c r="I68">
        <v>10</v>
      </c>
      <c r="J68" t="s">
        <v>182</v>
      </c>
      <c r="K68">
        <v>38947.5</v>
      </c>
      <c r="L68">
        <v>24328.73</v>
      </c>
      <c r="M68">
        <v>14618.77</v>
      </c>
      <c r="N68" t="str">
        <f t="shared" si="6"/>
        <v>Jun</v>
      </c>
      <c r="O68">
        <f t="shared" si="7"/>
        <v>6</v>
      </c>
      <c r="P68" s="5">
        <f t="shared" si="5"/>
        <v>37.534552923807688</v>
      </c>
    </row>
    <row r="69" spans="1:16" x14ac:dyDescent="0.25">
      <c r="A69" t="s">
        <v>80</v>
      </c>
      <c r="B69" s="2">
        <v>46180.215189873423</v>
      </c>
      <c r="C69" t="s">
        <v>157</v>
      </c>
      <c r="D69" t="s">
        <v>167</v>
      </c>
      <c r="E69" t="s">
        <v>173</v>
      </c>
      <c r="F69" t="s">
        <v>176</v>
      </c>
      <c r="G69">
        <v>1</v>
      </c>
      <c r="H69">
        <v>14087</v>
      </c>
      <c r="I69">
        <v>15</v>
      </c>
      <c r="J69" t="s">
        <v>181</v>
      </c>
      <c r="K69">
        <v>11973.95</v>
      </c>
      <c r="L69">
        <v>9374.33</v>
      </c>
      <c r="M69">
        <v>2599.62</v>
      </c>
      <c r="N69" t="str">
        <f t="shared" si="6"/>
        <v>Jun</v>
      </c>
      <c r="O69">
        <f t="shared" si="7"/>
        <v>6</v>
      </c>
      <c r="P69" s="5">
        <f t="shared" si="5"/>
        <v>21.71063015963821</v>
      </c>
    </row>
    <row r="70" spans="1:16" x14ac:dyDescent="0.25">
      <c r="A70" t="s">
        <v>81</v>
      </c>
      <c r="B70" s="2">
        <v>46182.493670886062</v>
      </c>
      <c r="C70" t="s">
        <v>99</v>
      </c>
      <c r="D70" t="s">
        <v>171</v>
      </c>
      <c r="E70" t="s">
        <v>173</v>
      </c>
      <c r="F70" t="s">
        <v>177</v>
      </c>
      <c r="G70">
        <v>4</v>
      </c>
      <c r="H70">
        <v>55462</v>
      </c>
      <c r="I70">
        <v>15</v>
      </c>
      <c r="J70" t="s">
        <v>181</v>
      </c>
      <c r="K70">
        <v>188570.8</v>
      </c>
      <c r="L70">
        <v>127543.81</v>
      </c>
      <c r="M70">
        <v>61026.99</v>
      </c>
      <c r="N70" t="str">
        <f t="shared" si="6"/>
        <v>Jun</v>
      </c>
      <c r="O70">
        <f t="shared" si="7"/>
        <v>6</v>
      </c>
      <c r="P70" s="5">
        <f t="shared" si="5"/>
        <v>32.362905603624739</v>
      </c>
    </row>
    <row r="71" spans="1:16" x14ac:dyDescent="0.25">
      <c r="A71" t="s">
        <v>82</v>
      </c>
      <c r="B71" s="2">
        <v>46184.772151898716</v>
      </c>
      <c r="C71" t="s">
        <v>158</v>
      </c>
      <c r="D71" t="s">
        <v>168</v>
      </c>
      <c r="E71" t="s">
        <v>174</v>
      </c>
      <c r="F71" t="s">
        <v>176</v>
      </c>
      <c r="G71">
        <v>4</v>
      </c>
      <c r="H71">
        <v>3438</v>
      </c>
      <c r="I71">
        <v>15</v>
      </c>
      <c r="J71" t="s">
        <v>182</v>
      </c>
      <c r="K71">
        <v>11689.2</v>
      </c>
      <c r="L71">
        <v>7523.55</v>
      </c>
      <c r="M71">
        <v>4165.6499999999996</v>
      </c>
      <c r="N71" t="str">
        <f t="shared" si="6"/>
        <v>Jun</v>
      </c>
      <c r="O71">
        <f t="shared" si="7"/>
        <v>6</v>
      </c>
      <c r="P71" s="5">
        <f t="shared" si="5"/>
        <v>35.636741607637809</v>
      </c>
    </row>
    <row r="72" spans="1:16" x14ac:dyDescent="0.25">
      <c r="A72" t="s">
        <v>83</v>
      </c>
      <c r="B72" s="2">
        <v>46187.050632911392</v>
      </c>
      <c r="C72" t="s">
        <v>159</v>
      </c>
      <c r="D72" t="s">
        <v>168</v>
      </c>
      <c r="E72" t="s">
        <v>174</v>
      </c>
      <c r="F72" t="s">
        <v>175</v>
      </c>
      <c r="G72">
        <v>3</v>
      </c>
      <c r="H72">
        <v>2954</v>
      </c>
      <c r="I72">
        <v>0</v>
      </c>
      <c r="J72" t="s">
        <v>179</v>
      </c>
      <c r="K72">
        <v>8862</v>
      </c>
      <c r="L72">
        <v>6729.34</v>
      </c>
      <c r="M72">
        <v>2132.66</v>
      </c>
      <c r="N72" t="str">
        <f t="shared" si="6"/>
        <v>Jun</v>
      </c>
      <c r="O72">
        <f t="shared" si="7"/>
        <v>6</v>
      </c>
      <c r="P72" s="5">
        <f t="shared" si="5"/>
        <v>24.065222297449786</v>
      </c>
    </row>
    <row r="73" spans="1:16" x14ac:dyDescent="0.25">
      <c r="A73" t="s">
        <v>84</v>
      </c>
      <c r="B73" s="2">
        <v>46189.329113924039</v>
      </c>
      <c r="C73" t="s">
        <v>160</v>
      </c>
      <c r="D73" t="s">
        <v>170</v>
      </c>
      <c r="E73" t="s">
        <v>174</v>
      </c>
      <c r="F73" t="s">
        <v>177</v>
      </c>
      <c r="G73">
        <v>1</v>
      </c>
      <c r="H73">
        <v>1489</v>
      </c>
      <c r="I73">
        <v>5</v>
      </c>
      <c r="J73" t="s">
        <v>182</v>
      </c>
      <c r="K73">
        <v>1414.55</v>
      </c>
      <c r="L73">
        <v>1054.96</v>
      </c>
      <c r="M73">
        <v>359.59</v>
      </c>
      <c r="N73" t="str">
        <f t="shared" si="6"/>
        <v>Jun</v>
      </c>
      <c r="O73">
        <f t="shared" si="7"/>
        <v>6</v>
      </c>
      <c r="P73" s="5">
        <f t="shared" si="5"/>
        <v>25.420805203068113</v>
      </c>
    </row>
    <row r="74" spans="1:16" x14ac:dyDescent="0.25">
      <c r="A74" t="s">
        <v>85</v>
      </c>
      <c r="B74" s="2">
        <v>46191.6075949367</v>
      </c>
      <c r="C74" t="s">
        <v>161</v>
      </c>
      <c r="D74" t="s">
        <v>168</v>
      </c>
      <c r="E74" t="s">
        <v>174</v>
      </c>
      <c r="F74" t="s">
        <v>175</v>
      </c>
      <c r="G74">
        <v>3</v>
      </c>
      <c r="H74">
        <v>3185</v>
      </c>
      <c r="I74">
        <v>15</v>
      </c>
      <c r="J74" t="s">
        <v>179</v>
      </c>
      <c r="K74">
        <v>8121.75</v>
      </c>
      <c r="L74">
        <v>6460.81</v>
      </c>
      <c r="M74">
        <v>1660.94</v>
      </c>
      <c r="N74" t="str">
        <f t="shared" si="6"/>
        <v>Jun</v>
      </c>
      <c r="O74">
        <f t="shared" si="7"/>
        <v>6</v>
      </c>
      <c r="P74" s="5">
        <f t="shared" si="5"/>
        <v>20.450518669006065</v>
      </c>
    </row>
    <row r="75" spans="1:16" x14ac:dyDescent="0.25">
      <c r="A75" t="s">
        <v>86</v>
      </c>
      <c r="B75" s="2">
        <v>46193.886075949362</v>
      </c>
      <c r="C75" t="s">
        <v>162</v>
      </c>
      <c r="D75" t="s">
        <v>170</v>
      </c>
      <c r="E75" t="s">
        <v>174</v>
      </c>
      <c r="F75" t="s">
        <v>177</v>
      </c>
      <c r="G75">
        <v>1</v>
      </c>
      <c r="H75">
        <v>1103</v>
      </c>
      <c r="I75">
        <v>5</v>
      </c>
      <c r="J75" t="s">
        <v>180</v>
      </c>
      <c r="K75">
        <v>1047.8499999999999</v>
      </c>
      <c r="L75">
        <v>803.72</v>
      </c>
      <c r="M75">
        <v>244.13</v>
      </c>
      <c r="N75" t="str">
        <f t="shared" si="6"/>
        <v>Jun</v>
      </c>
      <c r="O75">
        <f t="shared" si="7"/>
        <v>6</v>
      </c>
      <c r="P75" s="5">
        <f t="shared" si="5"/>
        <v>23.298181991697287</v>
      </c>
    </row>
    <row r="76" spans="1:16" x14ac:dyDescent="0.25">
      <c r="A76" t="s">
        <v>87</v>
      </c>
      <c r="B76" s="2">
        <v>46196.164556962023</v>
      </c>
      <c r="C76" t="s">
        <v>163</v>
      </c>
      <c r="D76" t="s">
        <v>171</v>
      </c>
      <c r="E76" t="s">
        <v>173</v>
      </c>
      <c r="F76" t="s">
        <v>177</v>
      </c>
      <c r="G76">
        <v>5</v>
      </c>
      <c r="H76">
        <v>55192</v>
      </c>
      <c r="I76">
        <v>5</v>
      </c>
      <c r="J76" t="s">
        <v>180</v>
      </c>
      <c r="K76">
        <v>262162</v>
      </c>
      <c r="L76">
        <v>204668.87</v>
      </c>
      <c r="M76">
        <v>57493.13</v>
      </c>
      <c r="N76" t="str">
        <f t="shared" si="6"/>
        <v>Jun</v>
      </c>
      <c r="O76">
        <f t="shared" si="7"/>
        <v>6</v>
      </c>
      <c r="P76" s="5">
        <f t="shared" si="5"/>
        <v>21.93038274044293</v>
      </c>
    </row>
    <row r="77" spans="1:16" x14ac:dyDescent="0.25">
      <c r="A77" t="s">
        <v>88</v>
      </c>
      <c r="B77" s="2">
        <v>46198.443037974677</v>
      </c>
      <c r="C77" t="s">
        <v>164</v>
      </c>
      <c r="D77" t="s">
        <v>167</v>
      </c>
      <c r="E77" t="s">
        <v>173</v>
      </c>
      <c r="F77" t="s">
        <v>178</v>
      </c>
      <c r="G77">
        <v>2</v>
      </c>
      <c r="H77">
        <v>14045</v>
      </c>
      <c r="I77">
        <v>10</v>
      </c>
      <c r="J77" t="s">
        <v>180</v>
      </c>
      <c r="K77">
        <v>25281</v>
      </c>
      <c r="L77">
        <v>17100.240000000002</v>
      </c>
      <c r="M77">
        <v>8180.76</v>
      </c>
      <c r="N77" t="str">
        <f t="shared" si="6"/>
        <v>Jun</v>
      </c>
      <c r="O77">
        <f t="shared" si="7"/>
        <v>6</v>
      </c>
      <c r="P77" s="5">
        <f t="shared" si="5"/>
        <v>32.359321229381749</v>
      </c>
    </row>
    <row r="78" spans="1:16" x14ac:dyDescent="0.25">
      <c r="A78" t="s">
        <v>89</v>
      </c>
      <c r="B78" s="2">
        <v>46200.721518987339</v>
      </c>
      <c r="C78" t="s">
        <v>165</v>
      </c>
      <c r="D78" t="s">
        <v>167</v>
      </c>
      <c r="E78" t="s">
        <v>173</v>
      </c>
      <c r="F78" t="s">
        <v>175</v>
      </c>
      <c r="G78">
        <v>2</v>
      </c>
      <c r="H78">
        <v>13975</v>
      </c>
      <c r="I78">
        <v>0</v>
      </c>
      <c r="J78" t="s">
        <v>181</v>
      </c>
      <c r="K78">
        <v>27950</v>
      </c>
      <c r="L78">
        <v>18320.89</v>
      </c>
      <c r="M78">
        <v>9629.11</v>
      </c>
      <c r="N78" t="str">
        <f t="shared" si="6"/>
        <v>Jun</v>
      </c>
      <c r="O78">
        <f t="shared" si="7"/>
        <v>6</v>
      </c>
      <c r="P78" s="5">
        <f t="shared" si="5"/>
        <v>34.451198568872989</v>
      </c>
    </row>
    <row r="79" spans="1:16" x14ac:dyDescent="0.25">
      <c r="A79" t="s">
        <v>90</v>
      </c>
      <c r="B79" s="2">
        <v>46203</v>
      </c>
      <c r="C79" t="s">
        <v>166</v>
      </c>
      <c r="D79" t="s">
        <v>167</v>
      </c>
      <c r="E79" t="s">
        <v>173</v>
      </c>
      <c r="F79" t="s">
        <v>176</v>
      </c>
      <c r="G79">
        <v>2</v>
      </c>
      <c r="H79">
        <v>13838</v>
      </c>
      <c r="I79">
        <v>15</v>
      </c>
      <c r="J79" t="s">
        <v>180</v>
      </c>
      <c r="K79">
        <v>23524.6</v>
      </c>
      <c r="L79">
        <v>18116.830000000002</v>
      </c>
      <c r="M79">
        <v>5407.77</v>
      </c>
      <c r="N79" t="str">
        <f t="shared" si="6"/>
        <v>Jun</v>
      </c>
      <c r="O79">
        <f t="shared" si="7"/>
        <v>6</v>
      </c>
      <c r="P79" s="5">
        <f t="shared" si="5"/>
        <v>22.987723489453597</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2026-09-18T00:21:58Z</dcterms:created>
  <dcterms:modified xsi:type="dcterms:W3CDTF">2026-09-30T06:53:50Z</dcterms:modified>
</cp:coreProperties>
</file>